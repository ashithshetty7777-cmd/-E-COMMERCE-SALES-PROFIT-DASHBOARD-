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SHITH\Desktop\Data analyst\Excel\Project3\"/>
    </mc:Choice>
  </mc:AlternateContent>
  <xr:revisionPtr revIDLastSave="0" documentId="8_{0E213E8A-1E44-4FEB-A3D4-1BA8DFFFFC2B}" xr6:coauthVersionLast="47" xr6:coauthVersionMax="47" xr10:uidLastSave="{00000000-0000-0000-0000-000000000000}"/>
  <bookViews>
    <workbookView xWindow="-108" yWindow="-108" windowWidth="23256" windowHeight="12456" tabRatio="1000" firstSheet="1" activeTab="6" xr2:uid="{2398FC89-5F12-405A-AF7A-B9C86A75F7B9}"/>
  </bookViews>
  <sheets>
    <sheet name="Sales &amp; Profit by Region." sheetId="3" r:id="rId1"/>
    <sheet name="Category Analysis" sheetId="4" r:id="rId2"/>
    <sheet name="Segment Analysis" sheetId="5" r:id="rId3"/>
    <sheet name="Product Performance" sheetId="6" r:id="rId4"/>
    <sheet name="Payment Method Analysis" sheetId="7" r:id="rId5"/>
    <sheet name="Daily Sales &amp; Profit" sheetId="8" r:id="rId6"/>
    <sheet name="  E-COMMERCE SALES &amp; PROFIT DAS" sheetId="9" r:id="rId7"/>
    <sheet name="Raw Data" sheetId="1" r:id="rId8"/>
  </sheets>
  <externalReferences>
    <externalReference r:id="rId9"/>
  </externalReferences>
  <definedNames>
    <definedName name="Slicer_Category">#N/A</definedName>
    <definedName name="Slicer_Order_Date">#N/A</definedName>
    <definedName name="Slicer_Payment_Method">#N/A</definedName>
    <definedName name="Slicer_Region1">#N/A</definedName>
    <definedName name="Slicer_Segment">#N/A</definedName>
  </definedNames>
  <calcPr calcId="191029"/>
  <pivotCaches>
    <pivotCache cacheId="18"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9" l="1"/>
  <c r="H3" i="9"/>
  <c r="F3" i="9"/>
  <c r="D3" i="9"/>
  <c r="B3" i="9"/>
  <c r="Q3" i="1"/>
  <c r="Q4" i="1"/>
  <c r="Q5" i="1"/>
  <c r="Q6" i="1"/>
  <c r="Q7" i="1"/>
  <c r="Q8" i="1"/>
  <c r="Q9" i="1"/>
  <c r="Q10" i="1"/>
  <c r="Q11" i="1"/>
  <c r="Q12" i="1"/>
  <c r="Q13" i="1"/>
  <c r="Q14" i="1"/>
  <c r="Q15" i="1"/>
  <c r="Q16" i="1"/>
  <c r="Q17" i="1"/>
  <c r="Q18" i="1"/>
  <c r="R18" i="1" s="1"/>
  <c r="S18" i="1" s="1"/>
  <c r="Q19" i="1"/>
  <c r="Q20" i="1"/>
  <c r="Q21" i="1"/>
  <c r="Q22" i="1"/>
  <c r="Q23" i="1"/>
  <c r="Q24" i="1"/>
  <c r="Q25" i="1"/>
  <c r="Q26" i="1"/>
  <c r="R26" i="1" s="1"/>
  <c r="S26" i="1" s="1"/>
  <c r="Q27" i="1"/>
  <c r="Q28" i="1"/>
  <c r="Q29" i="1"/>
  <c r="Q30" i="1"/>
  <c r="Q31" i="1"/>
  <c r="Q2" i="1"/>
  <c r="N3" i="1"/>
  <c r="O3" i="1" s="1"/>
  <c r="N4" i="1"/>
  <c r="O4" i="1" s="1"/>
  <c r="N5" i="1"/>
  <c r="O5" i="1" s="1"/>
  <c r="N6" i="1"/>
  <c r="O6" i="1" s="1"/>
  <c r="N7" i="1"/>
  <c r="O7" i="1" s="1"/>
  <c r="N8" i="1"/>
  <c r="O8" i="1" s="1"/>
  <c r="N9" i="1"/>
  <c r="O9" i="1" s="1"/>
  <c r="N10" i="1"/>
  <c r="O10" i="1" s="1"/>
  <c r="P10" i="1" s="1"/>
  <c r="N11" i="1"/>
  <c r="O11" i="1" s="1"/>
  <c r="N12" i="1"/>
  <c r="O12" i="1" s="1"/>
  <c r="N13" i="1"/>
  <c r="O13" i="1" s="1"/>
  <c r="N14" i="1"/>
  <c r="O14" i="1" s="1"/>
  <c r="N15" i="1"/>
  <c r="O15" i="1" s="1"/>
  <c r="N16" i="1"/>
  <c r="O16" i="1" s="1"/>
  <c r="N17" i="1"/>
  <c r="O17" i="1" s="1"/>
  <c r="N18" i="1"/>
  <c r="O18" i="1" s="1"/>
  <c r="P18" i="1" s="1"/>
  <c r="N19" i="1"/>
  <c r="O19" i="1" s="1"/>
  <c r="N20" i="1"/>
  <c r="O20" i="1" s="1"/>
  <c r="N21" i="1"/>
  <c r="O21" i="1" s="1"/>
  <c r="N22" i="1"/>
  <c r="O22" i="1" s="1"/>
  <c r="N23" i="1"/>
  <c r="O23" i="1" s="1"/>
  <c r="N24" i="1"/>
  <c r="O24" i="1" s="1"/>
  <c r="N25" i="1"/>
  <c r="O25" i="1" s="1"/>
  <c r="N26" i="1"/>
  <c r="O26" i="1" s="1"/>
  <c r="P26" i="1" s="1"/>
  <c r="N27" i="1"/>
  <c r="O27" i="1" s="1"/>
  <c r="N28" i="1"/>
  <c r="O28" i="1" s="1"/>
  <c r="N29" i="1"/>
  <c r="O29" i="1" s="1"/>
  <c r="N30" i="1"/>
  <c r="O30" i="1" s="1"/>
  <c r="N31" i="1"/>
  <c r="O31" i="1" s="1"/>
  <c r="N2" i="1"/>
  <c r="O2" i="1" s="1"/>
  <c r="R10" i="1" l="1"/>
  <c r="S10" i="1" s="1"/>
  <c r="P25" i="1"/>
  <c r="R25" i="1" s="1"/>
  <c r="S25" i="1" s="1"/>
  <c r="P9" i="1"/>
  <c r="R9" i="1" s="1"/>
  <c r="S9" i="1" s="1"/>
  <c r="P2" i="1"/>
  <c r="R2" i="1" s="1"/>
  <c r="S2" i="1" s="1"/>
  <c r="P31" i="1"/>
  <c r="R31" i="1" s="1"/>
  <c r="S31" i="1" s="1"/>
  <c r="P23" i="1"/>
  <c r="R23" i="1" s="1"/>
  <c r="S23" i="1" s="1"/>
  <c r="P15" i="1"/>
  <c r="R15" i="1" s="1"/>
  <c r="S15" i="1" s="1"/>
  <c r="P7" i="1"/>
  <c r="R7" i="1" s="1"/>
  <c r="S7" i="1" s="1"/>
  <c r="P17" i="1"/>
  <c r="R17" i="1" s="1"/>
  <c r="S17" i="1" s="1"/>
  <c r="P30" i="1"/>
  <c r="R30" i="1" s="1"/>
  <c r="S30" i="1" s="1"/>
  <c r="P22" i="1"/>
  <c r="R22" i="1" s="1"/>
  <c r="S22" i="1" s="1"/>
  <c r="P14" i="1"/>
  <c r="R14" i="1" s="1"/>
  <c r="S14" i="1" s="1"/>
  <c r="P6" i="1"/>
  <c r="R6" i="1" s="1"/>
  <c r="S6" i="1" s="1"/>
  <c r="P24" i="1"/>
  <c r="R24" i="1" s="1"/>
  <c r="S24" i="1" s="1"/>
  <c r="P29" i="1"/>
  <c r="R29" i="1" s="1"/>
  <c r="S29" i="1" s="1"/>
  <c r="P21" i="1"/>
  <c r="R21" i="1" s="1"/>
  <c r="S21" i="1" s="1"/>
  <c r="P13" i="1"/>
  <c r="R13" i="1" s="1"/>
  <c r="S13" i="1" s="1"/>
  <c r="P5" i="1"/>
  <c r="R5" i="1" s="1"/>
  <c r="S5" i="1" s="1"/>
  <c r="P16" i="1"/>
  <c r="R16" i="1" s="1"/>
  <c r="S16" i="1" s="1"/>
  <c r="P28" i="1"/>
  <c r="R28" i="1" s="1"/>
  <c r="S28" i="1" s="1"/>
  <c r="P20" i="1"/>
  <c r="R20" i="1" s="1"/>
  <c r="S20" i="1" s="1"/>
  <c r="P12" i="1"/>
  <c r="R12" i="1" s="1"/>
  <c r="S12" i="1" s="1"/>
  <c r="P4" i="1"/>
  <c r="R4" i="1" s="1"/>
  <c r="S4" i="1" s="1"/>
  <c r="P8" i="1"/>
  <c r="R8" i="1" s="1"/>
  <c r="S8" i="1" s="1"/>
  <c r="P27" i="1"/>
  <c r="R27" i="1" s="1"/>
  <c r="S27" i="1" s="1"/>
  <c r="P19" i="1"/>
  <c r="R19" i="1" s="1"/>
  <c r="S19" i="1" s="1"/>
  <c r="P11" i="1"/>
  <c r="R11" i="1" s="1"/>
  <c r="S11" i="1" s="1"/>
  <c r="P3" i="1"/>
  <c r="R3" i="1" s="1"/>
  <c r="S3" i="1" s="1"/>
</calcChain>
</file>

<file path=xl/sharedStrings.xml><?xml version="1.0" encoding="utf-8"?>
<sst xmlns="http://schemas.openxmlformats.org/spreadsheetml/2006/main" count="256" uniqueCount="83">
  <si>
    <t>Order ID</t>
  </si>
  <si>
    <t>Order Date</t>
  </si>
  <si>
    <t>Customer</t>
  </si>
  <si>
    <t>Segment</t>
  </si>
  <si>
    <t>Region</t>
  </si>
  <si>
    <t>Category</t>
  </si>
  <si>
    <t>Product</t>
  </si>
  <si>
    <t>Quantity</t>
  </si>
  <si>
    <t>Unit Price</t>
  </si>
  <si>
    <t>Unit Cost</t>
  </si>
  <si>
    <t>Discount</t>
  </si>
  <si>
    <t>Shipping Cost</t>
  </si>
  <si>
    <t>Payment Method</t>
  </si>
  <si>
    <t>Aarav Sharma</t>
  </si>
  <si>
    <t>Consumer</t>
  </si>
  <si>
    <t>West</t>
  </si>
  <si>
    <t>Electronics</t>
  </si>
  <si>
    <t>Laptop</t>
  </si>
  <si>
    <t>UPI</t>
  </si>
  <si>
    <t>Priya Mehta</t>
  </si>
  <si>
    <t>Corporate</t>
  </si>
  <si>
    <t>South</t>
  </si>
  <si>
    <t>Furniture</t>
  </si>
  <si>
    <t>Office Chair</t>
  </si>
  <si>
    <t>Credit Card</t>
  </si>
  <si>
    <t>Rohan Patil</t>
  </si>
  <si>
    <t>North</t>
  </si>
  <si>
    <t>Accessories</t>
  </si>
  <si>
    <t>Wireless Mouse</t>
  </si>
  <si>
    <t>Sneha Rao</t>
  </si>
  <si>
    <t>Small Business</t>
  </si>
  <si>
    <t>East</t>
  </si>
  <si>
    <t>Monitor</t>
  </si>
  <si>
    <t>Debit Card</t>
  </si>
  <si>
    <t>Vikram Shah</t>
  </si>
  <si>
    <t>Office Desk</t>
  </si>
  <si>
    <t>Bank Transfer</t>
  </si>
  <si>
    <t>Ananya Nair</t>
  </si>
  <si>
    <t>Keyboard</t>
  </si>
  <si>
    <t>Karan Joshi</t>
  </si>
  <si>
    <t>Meera Iyer</t>
  </si>
  <si>
    <t>Headphones</t>
  </si>
  <si>
    <t>Aditya Kulkarni</t>
  </si>
  <si>
    <t>Neha Desai</t>
  </si>
  <si>
    <t>Rahul Verma</t>
  </si>
  <si>
    <t>Isha Kapoor</t>
  </si>
  <si>
    <t>Arjun Menon</t>
  </si>
  <si>
    <t>Kavya Reddy</t>
  </si>
  <si>
    <t>Dev Malhotra</t>
  </si>
  <si>
    <t>Tara Sinha</t>
  </si>
  <si>
    <t>Manav Gupta</t>
  </si>
  <si>
    <t>Diya Fernandes</t>
  </si>
  <si>
    <t>Siddharth Rao</t>
  </si>
  <si>
    <t>Pooja Shetty</t>
  </si>
  <si>
    <t>Akash Bhat</t>
  </si>
  <si>
    <t>Riya Shah</t>
  </si>
  <si>
    <t>Omkar Naik</t>
  </si>
  <si>
    <t>Simran Kaur</t>
  </si>
  <si>
    <t>Yash Deshmukh</t>
  </si>
  <si>
    <t>Nisha Pillai</t>
  </si>
  <si>
    <t>Varun Sethi</t>
  </si>
  <si>
    <t>Maya Krishnan</t>
  </si>
  <si>
    <t>Harsh Jain</t>
  </si>
  <si>
    <t>Reema D'Souza</t>
  </si>
  <si>
    <t>Gross sale</t>
  </si>
  <si>
    <t>Net Sale</t>
  </si>
  <si>
    <t>Discount Amount</t>
  </si>
  <si>
    <t>Total Cost</t>
  </si>
  <si>
    <t>Profit</t>
  </si>
  <si>
    <t>Profit Margin</t>
  </si>
  <si>
    <t>Row Labels</t>
  </si>
  <si>
    <t>Grand Total</t>
  </si>
  <si>
    <t>Sum of Net Sale</t>
  </si>
  <si>
    <t>Sum of Profit</t>
  </si>
  <si>
    <t>Sum of Quantity</t>
  </si>
  <si>
    <t>Sum of Order ID</t>
  </si>
  <si>
    <t>Sum of Profit Margin</t>
  </si>
  <si>
    <t xml:space="preserve">  E-COMMERCE SALES &amp; PROFIT DASHBOARD </t>
  </si>
  <si>
    <t>Total Profit</t>
  </si>
  <si>
    <t>Total Quantity</t>
  </si>
  <si>
    <t>Total Orders</t>
  </si>
  <si>
    <t>Overall Profit Margin</t>
  </si>
  <si>
    <t xml:space="preserve">   TOTAL NET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</si>
</sst>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quot;\ #,##0.00"/>
  </numFmts>
  <fonts count="5" x14ac:knownFonts="1">
    <font>
      <sz val="11"/>
      <color theme="1"/>
      <name val="Aptos Narrow"/>
      <family val="2"/>
      <scheme val="minor"/>
    </font>
    <font>
      <sz val="11"/>
      <color theme="1"/>
      <name val="Aptos Narrow"/>
      <family val="2"/>
      <scheme val="minor"/>
    </font>
    <font>
      <b/>
      <sz val="18"/>
      <color theme="1"/>
      <name val="Aptos Narrow"/>
      <family val="2"/>
      <scheme val="minor"/>
    </font>
    <font>
      <b/>
      <sz val="12"/>
      <color theme="1"/>
      <name val="Aptos Narrow"/>
      <family val="2"/>
      <scheme val="minor"/>
    </font>
    <font>
      <b/>
      <sz val="14"/>
      <color theme="1"/>
      <name val="Aptos Narrow"/>
      <family val="2"/>
      <scheme val="minor"/>
    </font>
  </fonts>
  <fills count="4">
    <fill>
      <patternFill patternType="none"/>
    </fill>
    <fill>
      <patternFill patternType="gray125"/>
    </fill>
    <fill>
      <patternFill patternType="solid">
        <fgColor theme="3" tint="0.749992370372631"/>
        <bgColor indexed="64"/>
      </patternFill>
    </fill>
    <fill>
      <patternFill patternType="solid">
        <fgColor theme="0" tint="-0.249977111117893"/>
        <bgColor indexed="64"/>
      </patternFill>
    </fill>
  </fills>
  <borders count="10">
    <border>
      <left/>
      <right/>
      <top/>
      <bottom/>
      <diagonal/>
    </border>
    <border>
      <left style="thick">
        <color auto="1"/>
      </left>
      <right style="medium">
        <color auto="1"/>
      </right>
      <top style="thick">
        <color auto="1"/>
      </top>
      <bottom style="medium">
        <color auto="1"/>
      </bottom>
      <diagonal/>
    </border>
    <border>
      <left style="medium">
        <color auto="1"/>
      </left>
      <right style="medium">
        <color auto="1"/>
      </right>
      <top style="thick">
        <color auto="1"/>
      </top>
      <bottom style="medium">
        <color auto="1"/>
      </bottom>
      <diagonal/>
    </border>
    <border>
      <left style="medium">
        <color auto="1"/>
      </left>
      <right style="thick">
        <color auto="1"/>
      </right>
      <top style="thick">
        <color auto="1"/>
      </top>
      <bottom style="medium">
        <color auto="1"/>
      </bottom>
      <diagonal/>
    </border>
    <border>
      <left style="thick">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ck">
        <color auto="1"/>
      </right>
      <top style="medium">
        <color auto="1"/>
      </top>
      <bottom style="medium">
        <color auto="1"/>
      </bottom>
      <diagonal/>
    </border>
    <border>
      <left style="thick">
        <color auto="1"/>
      </left>
      <right style="medium">
        <color auto="1"/>
      </right>
      <top style="medium">
        <color auto="1"/>
      </top>
      <bottom style="thick">
        <color auto="1"/>
      </bottom>
      <diagonal/>
    </border>
    <border>
      <left style="medium">
        <color auto="1"/>
      </left>
      <right style="medium">
        <color auto="1"/>
      </right>
      <top style="medium">
        <color auto="1"/>
      </top>
      <bottom style="thick">
        <color auto="1"/>
      </bottom>
      <diagonal/>
    </border>
    <border>
      <left style="medium">
        <color auto="1"/>
      </left>
      <right style="thick">
        <color auto="1"/>
      </right>
      <top style="medium">
        <color auto="1"/>
      </top>
      <bottom style="thick">
        <color auto="1"/>
      </bottom>
      <diagonal/>
    </border>
  </borders>
  <cellStyleXfs count="2">
    <xf numFmtId="0" fontId="0" fillId="0" borderId="0"/>
    <xf numFmtId="9" fontId="1" fillId="0" borderId="0" applyFont="0" applyFill="0" applyBorder="0" applyAlignment="0" applyProtection="0"/>
  </cellStyleXfs>
  <cellXfs count="28">
    <xf numFmtId="0" fontId="0" fillId="0" borderId="0" xfId="0"/>
    <xf numFmtId="14" fontId="0" fillId="0" borderId="0" xfId="0" applyNumberFormat="1"/>
    <xf numFmtId="9" fontId="0" fillId="0" borderId="0" xfId="0" applyNumberFormat="1"/>
    <xf numFmtId="10" fontId="0" fillId="0" borderId="0" xfId="1" applyNumberFormat="1" applyFont="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165" fontId="0" fillId="0" borderId="0" xfId="0" applyNumberFormat="1" applyAlignment="1">
      <alignment horizontal="center"/>
    </xf>
    <xf numFmtId="10" fontId="0" fillId="0" borderId="0" xfId="0" applyNumberFormat="1"/>
    <xf numFmtId="14" fontId="0" fillId="0" borderId="0" xfId="0" applyNumberFormat="1" applyAlignment="1">
      <alignment horizontal="left"/>
    </xf>
    <xf numFmtId="0" fontId="2" fillId="0" borderId="0" xfId="0" applyFont="1" applyAlignment="1">
      <alignment horizontal="center"/>
    </xf>
    <xf numFmtId="0" fontId="3" fillId="0" borderId="0" xfId="0" applyFont="1"/>
    <xf numFmtId="0" fontId="4" fillId="0" borderId="0" xfId="0" applyFont="1"/>
    <xf numFmtId="0" fontId="0" fillId="0" borderId="0" xfId="0" applyAlignment="1"/>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165" fontId="4" fillId="3" borderId="4" xfId="0" applyNumberFormat="1" applyFont="1" applyFill="1" applyBorder="1" applyAlignment="1">
      <alignment horizontal="center" vertical="center"/>
    </xf>
    <xf numFmtId="165" fontId="4" fillId="3" borderId="5" xfId="0" applyNumberFormat="1" applyFont="1" applyFill="1" applyBorder="1" applyAlignment="1">
      <alignment horizontal="center" vertical="center"/>
    </xf>
    <xf numFmtId="0" fontId="4" fillId="3" borderId="5" xfId="0" applyFont="1" applyFill="1" applyBorder="1" applyAlignment="1">
      <alignment horizontal="center" vertical="center"/>
    </xf>
    <xf numFmtId="10" fontId="4" fillId="3" borderId="5" xfId="1" applyNumberFormat="1" applyFont="1" applyFill="1" applyBorder="1" applyAlignment="1">
      <alignment horizontal="center" vertical="center"/>
    </xf>
    <xf numFmtId="10" fontId="4" fillId="3" borderId="6" xfId="1" applyNumberFormat="1" applyFont="1" applyFill="1" applyBorder="1" applyAlignment="1">
      <alignment horizontal="center" vertical="center"/>
    </xf>
    <xf numFmtId="165" fontId="4" fillId="3" borderId="7" xfId="0" applyNumberFormat="1" applyFont="1" applyFill="1" applyBorder="1" applyAlignment="1">
      <alignment horizontal="center" vertical="center"/>
    </xf>
    <xf numFmtId="165" fontId="4" fillId="3" borderId="8" xfId="0" applyNumberFormat="1" applyFont="1" applyFill="1" applyBorder="1" applyAlignment="1">
      <alignment horizontal="center" vertical="center"/>
    </xf>
    <xf numFmtId="0" fontId="4" fillId="3" borderId="8" xfId="0" applyFont="1" applyFill="1" applyBorder="1" applyAlignment="1">
      <alignment horizontal="center" vertical="center"/>
    </xf>
    <xf numFmtId="10" fontId="4" fillId="3" borderId="8" xfId="1" applyNumberFormat="1" applyFont="1" applyFill="1" applyBorder="1" applyAlignment="1">
      <alignment horizontal="center" vertical="center"/>
    </xf>
    <xf numFmtId="10" fontId="4" fillId="3" borderId="9" xfId="1" applyNumberFormat="1" applyFont="1" applyFill="1" applyBorder="1" applyAlignment="1">
      <alignment horizontal="center" vertical="center"/>
    </xf>
  </cellXfs>
  <cellStyles count="2">
    <cellStyle name="Normal" xfId="0" builtinId="0"/>
    <cellStyle name="Percent" xfId="1" builtinId="5"/>
  </cellStyles>
  <dxfs count="11">
    <dxf>
      <numFmt numFmtId="165" formatCode="&quot;₹&quot;\ #,##0.00"/>
      <alignment horizontal="center" vertical="bottom" textRotation="0" wrapText="0" indent="0" justifyLastLine="0" shrinkToFit="0" readingOrder="0"/>
    </dxf>
    <dxf>
      <numFmt numFmtId="165" formatCode="&quot;₹&quot;\ #,##0.00"/>
      <alignment horizontal="center" vertical="bottom" textRotation="0" wrapText="0" indent="0" justifyLastLine="0" shrinkToFit="0" readingOrder="0"/>
    </dxf>
    <dxf>
      <numFmt numFmtId="13" formatCode="0%"/>
    </dxf>
    <dxf>
      <numFmt numFmtId="165" formatCode="&quot;₹&quot;\ #,##0.00"/>
      <alignment horizontal="center" vertical="bottom" textRotation="0" wrapText="0" indent="0" justifyLastLine="0" shrinkToFit="0" readingOrder="0"/>
    </dxf>
    <dxf>
      <numFmt numFmtId="165" formatCode="&quot;₹&quot;\ #,##0.00"/>
      <alignment horizontal="center" vertical="bottom" textRotation="0" wrapText="0" indent="0" justifyLastLine="0" shrinkToFit="0" readingOrder="0"/>
    </dxf>
    <dxf>
      <numFmt numFmtId="165" formatCode="&quot;₹&quot;\ #,##0.00"/>
      <alignment horizontal="center" vertical="bottom" textRotation="0" wrapText="0" indent="0" justifyLastLine="0" shrinkToFit="0" readingOrder="0"/>
    </dxf>
    <dxf>
      <numFmt numFmtId="165" formatCode="&quot;₹&quot;\ #,##0.00"/>
      <alignment horizontal="center" vertical="bottom" textRotation="0" wrapText="0" indent="0" justifyLastLine="0" shrinkToFit="0" readingOrder="0"/>
    </dxf>
    <dxf>
      <numFmt numFmtId="165" formatCode="&quot;₹&quot;\ #,##0.00"/>
      <alignment horizontal="center" vertical="bottom" textRotation="0" wrapText="0" indent="0" justifyLastLine="0" shrinkToFit="0" readingOrder="0"/>
    </dxf>
    <dxf>
      <numFmt numFmtId="165" formatCode="&quot;₹&quot;\ #,##0.00"/>
      <alignment horizontal="center" vertical="bottom" textRotation="0" wrapText="0" indent="0" justifyLastLine="0" shrinkToFit="0" readingOrder="0"/>
    </dxf>
    <dxf>
      <numFmt numFmtId="14" formatCode="0.0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[Ecommerce_Sales_Profit_Analysis.xlsx]Sales &amp; Profit by Region.!PivotTable2</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Sales &amp; Profit by Region</a:t>
            </a:r>
          </a:p>
          <a:p>
            <a:pPr>
              <a:defRPr b="1"/>
            </a:pP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&amp; Profit by Region.'!$B$3</c:f>
              <c:strCache>
                <c:ptCount val="1"/>
                <c:pt idx="0">
                  <c:v>Sum of Net Sale</c:v>
                </c:pt>
              </c:strCache>
            </c:strRef>
          </c:tx>
          <c:spPr>
            <a:solidFill>
              <a:schemeClr val="accent1"/>
            </a:solidFill>
            <a:ln>
              <a:noFill/>
            </a:ln>
            <a:effectLst/>
          </c:spPr>
          <c:invertIfNegative val="0"/>
          <c:cat>
            <c:strRef>
              <c:f>'Sales &amp; Profit by Region.'!$A$4:$A$8</c:f>
              <c:strCache>
                <c:ptCount val="4"/>
                <c:pt idx="0">
                  <c:v>East</c:v>
                </c:pt>
                <c:pt idx="1">
                  <c:v>North</c:v>
                </c:pt>
                <c:pt idx="2">
                  <c:v>South</c:v>
                </c:pt>
                <c:pt idx="3">
                  <c:v>West</c:v>
                </c:pt>
              </c:strCache>
            </c:strRef>
          </c:cat>
          <c:val>
            <c:numRef>
              <c:f>'Sales &amp; Profit by Region.'!$B$4:$B$8</c:f>
              <c:numCache>
                <c:formatCode>"₹"\ #,##0.00</c:formatCode>
                <c:ptCount val="4"/>
                <c:pt idx="0">
                  <c:v>291665</c:v>
                </c:pt>
                <c:pt idx="1">
                  <c:v>391875</c:v>
                </c:pt>
                <c:pt idx="2">
                  <c:v>383625</c:v>
                </c:pt>
                <c:pt idx="3">
                  <c:v>585120</c:v>
                </c:pt>
              </c:numCache>
            </c:numRef>
          </c:val>
          <c:extLst>
            <c:ext xmlns:c16="http://schemas.microsoft.com/office/drawing/2014/chart" uri="{C3380CC4-5D6E-409C-BE32-E72D297353CC}">
              <c16:uniqueId val="{00000000-BDFB-4847-8E64-B85DBBFBBDE1}"/>
            </c:ext>
          </c:extLst>
        </c:ser>
        <c:ser>
          <c:idx val="1"/>
          <c:order val="1"/>
          <c:tx>
            <c:strRef>
              <c:f>'Sales &amp; Profit by Region.'!$C$3</c:f>
              <c:strCache>
                <c:ptCount val="1"/>
                <c:pt idx="0">
                  <c:v>Sum of Profit</c:v>
                </c:pt>
              </c:strCache>
            </c:strRef>
          </c:tx>
          <c:spPr>
            <a:solidFill>
              <a:schemeClr val="accent2"/>
            </a:solidFill>
            <a:ln>
              <a:noFill/>
            </a:ln>
            <a:effectLst/>
          </c:spPr>
          <c:invertIfNegative val="0"/>
          <c:cat>
            <c:strRef>
              <c:f>'Sales &amp; Profit by Region.'!$A$4:$A$8</c:f>
              <c:strCache>
                <c:ptCount val="4"/>
                <c:pt idx="0">
                  <c:v>East</c:v>
                </c:pt>
                <c:pt idx="1">
                  <c:v>North</c:v>
                </c:pt>
                <c:pt idx="2">
                  <c:v>South</c:v>
                </c:pt>
                <c:pt idx="3">
                  <c:v>West</c:v>
                </c:pt>
              </c:strCache>
            </c:strRef>
          </c:cat>
          <c:val>
            <c:numRef>
              <c:f>'Sales &amp; Profit by Region.'!$C$4:$C$8</c:f>
              <c:numCache>
                <c:formatCode>"₹"\ #,##0.00</c:formatCode>
                <c:ptCount val="4"/>
                <c:pt idx="0">
                  <c:v>65715</c:v>
                </c:pt>
                <c:pt idx="1">
                  <c:v>62025</c:v>
                </c:pt>
                <c:pt idx="2">
                  <c:v>60525</c:v>
                </c:pt>
                <c:pt idx="3">
                  <c:v>94620</c:v>
                </c:pt>
              </c:numCache>
            </c:numRef>
          </c:val>
          <c:extLst>
            <c:ext xmlns:c16="http://schemas.microsoft.com/office/drawing/2014/chart" uri="{C3380CC4-5D6E-409C-BE32-E72D297353CC}">
              <c16:uniqueId val="{00000001-BDFB-4847-8E64-B85DBBFBBDE1}"/>
            </c:ext>
          </c:extLst>
        </c:ser>
        <c:dLbls>
          <c:showLegendKey val="0"/>
          <c:showVal val="0"/>
          <c:showCatName val="0"/>
          <c:showSerName val="0"/>
          <c:showPercent val="0"/>
          <c:showBubbleSize val="0"/>
        </c:dLbls>
        <c:gapWidth val="219"/>
        <c:overlap val="-27"/>
        <c:axId val="1330635296"/>
        <c:axId val="1324913968"/>
      </c:barChart>
      <c:catAx>
        <c:axId val="133063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913968"/>
        <c:crosses val="autoZero"/>
        <c:auto val="1"/>
        <c:lblAlgn val="ctr"/>
        <c:lblOffset val="100"/>
        <c:noMultiLvlLbl val="0"/>
      </c:catAx>
      <c:valAx>
        <c:axId val="13249139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63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[Ecommerce_Sales_Profit_Analysis.xlsx]Category Analysis!PivotTable3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Sales by Category</a:t>
            </a:r>
          </a:p>
          <a:p>
            <a:pPr>
              <a:defRPr b="1"/>
            </a:pPr>
            <a:endParaRPr lang="en-IN" b="1" u="sng"/>
          </a:p>
        </c:rich>
      </c:tx>
      <c:layout>
        <c:manualLayout>
          <c:xMode val="edge"/>
          <c:yMode val="edge"/>
          <c:x val="0.26343012704174229"/>
          <c:y val="9.782160019315093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98359580052496"/>
          <c:y val="0.13323855351414407"/>
          <c:w val="0.55319160104986875"/>
          <c:h val="0.65890128317293672"/>
        </c:manualLayout>
      </c:layout>
      <c:barChart>
        <c:barDir val="col"/>
        <c:grouping val="clustered"/>
        <c:varyColors val="0"/>
        <c:ser>
          <c:idx val="0"/>
          <c:order val="0"/>
          <c:tx>
            <c:strRef>
              <c:f>'Category Analysis'!$B$3</c:f>
              <c:strCache>
                <c:ptCount val="1"/>
                <c:pt idx="0">
                  <c:v>Sum of Net Sale</c:v>
                </c:pt>
              </c:strCache>
            </c:strRef>
          </c:tx>
          <c:spPr>
            <a:solidFill>
              <a:schemeClr val="accent1"/>
            </a:solidFill>
            <a:ln>
              <a:noFill/>
            </a:ln>
            <a:effectLst/>
          </c:spPr>
          <c:invertIfNegative val="0"/>
          <c:cat>
            <c:strRef>
              <c:f>'Category Analysis'!$A$4:$A$7</c:f>
              <c:strCache>
                <c:ptCount val="3"/>
                <c:pt idx="0">
                  <c:v>Accessories</c:v>
                </c:pt>
                <c:pt idx="1">
                  <c:v>Electronics</c:v>
                </c:pt>
                <c:pt idx="2">
                  <c:v>Furniture</c:v>
                </c:pt>
              </c:strCache>
            </c:strRef>
          </c:cat>
          <c:val>
            <c:numRef>
              <c:f>'Category Analysis'!$B$4:$B$7</c:f>
              <c:numCache>
                <c:formatCode>"₹"\ #,##0.00</c:formatCode>
                <c:ptCount val="3"/>
                <c:pt idx="0">
                  <c:v>233630</c:v>
                </c:pt>
                <c:pt idx="1">
                  <c:v>1092830</c:v>
                </c:pt>
                <c:pt idx="2">
                  <c:v>325825</c:v>
                </c:pt>
              </c:numCache>
            </c:numRef>
          </c:val>
          <c:extLst>
            <c:ext xmlns:c16="http://schemas.microsoft.com/office/drawing/2014/chart" uri="{C3380CC4-5D6E-409C-BE32-E72D297353CC}">
              <c16:uniqueId val="{00000000-7100-4F28-AD42-1EA138550890}"/>
            </c:ext>
          </c:extLst>
        </c:ser>
        <c:ser>
          <c:idx val="1"/>
          <c:order val="1"/>
          <c:tx>
            <c:strRef>
              <c:f>'Category Analysis'!$C$3</c:f>
              <c:strCache>
                <c:ptCount val="1"/>
                <c:pt idx="0">
                  <c:v>Sum of Profit</c:v>
                </c:pt>
              </c:strCache>
            </c:strRef>
          </c:tx>
          <c:spPr>
            <a:solidFill>
              <a:schemeClr val="accent2"/>
            </a:solidFill>
            <a:ln>
              <a:noFill/>
            </a:ln>
            <a:effectLst/>
          </c:spPr>
          <c:invertIfNegative val="0"/>
          <c:cat>
            <c:strRef>
              <c:f>'Category Analysis'!$A$4:$A$7</c:f>
              <c:strCache>
                <c:ptCount val="3"/>
                <c:pt idx="0">
                  <c:v>Accessories</c:v>
                </c:pt>
                <c:pt idx="1">
                  <c:v>Electronics</c:v>
                </c:pt>
                <c:pt idx="2">
                  <c:v>Furniture</c:v>
                </c:pt>
              </c:strCache>
            </c:strRef>
          </c:cat>
          <c:val>
            <c:numRef>
              <c:f>'Category Analysis'!$C$4:$C$7</c:f>
              <c:numCache>
                <c:formatCode>"₹"\ #,##0.00</c:formatCode>
                <c:ptCount val="3"/>
                <c:pt idx="0">
                  <c:v>90980</c:v>
                </c:pt>
                <c:pt idx="1">
                  <c:v>140730</c:v>
                </c:pt>
                <c:pt idx="2">
                  <c:v>51175</c:v>
                </c:pt>
              </c:numCache>
            </c:numRef>
          </c:val>
          <c:extLst>
            <c:ext xmlns:c16="http://schemas.microsoft.com/office/drawing/2014/chart" uri="{C3380CC4-5D6E-409C-BE32-E72D297353CC}">
              <c16:uniqueId val="{00000001-7100-4F28-AD42-1EA138550890}"/>
            </c:ext>
          </c:extLst>
        </c:ser>
        <c:ser>
          <c:idx val="2"/>
          <c:order val="2"/>
          <c:tx>
            <c:strRef>
              <c:f>'Category Analysis'!$D$3</c:f>
              <c:strCache>
                <c:ptCount val="1"/>
                <c:pt idx="0">
                  <c:v>Sum of Quantity</c:v>
                </c:pt>
              </c:strCache>
            </c:strRef>
          </c:tx>
          <c:spPr>
            <a:solidFill>
              <a:schemeClr val="accent3"/>
            </a:solidFill>
            <a:ln>
              <a:noFill/>
            </a:ln>
            <a:effectLst/>
          </c:spPr>
          <c:invertIfNegative val="0"/>
          <c:cat>
            <c:strRef>
              <c:f>'Category Analysis'!$A$4:$A$7</c:f>
              <c:strCache>
                <c:ptCount val="3"/>
                <c:pt idx="0">
                  <c:v>Accessories</c:v>
                </c:pt>
                <c:pt idx="1">
                  <c:v>Electronics</c:v>
                </c:pt>
                <c:pt idx="2">
                  <c:v>Furniture</c:v>
                </c:pt>
              </c:strCache>
            </c:strRef>
          </c:cat>
          <c:val>
            <c:numRef>
              <c:f>'Category Analysis'!$D$4:$D$7</c:f>
              <c:numCache>
                <c:formatCode>General</c:formatCode>
                <c:ptCount val="3"/>
                <c:pt idx="0">
                  <c:v>127</c:v>
                </c:pt>
                <c:pt idx="1">
                  <c:v>33</c:v>
                </c:pt>
                <c:pt idx="2">
                  <c:v>27</c:v>
                </c:pt>
              </c:numCache>
            </c:numRef>
          </c:val>
          <c:extLst>
            <c:ext xmlns:c16="http://schemas.microsoft.com/office/drawing/2014/chart" uri="{C3380CC4-5D6E-409C-BE32-E72D297353CC}">
              <c16:uniqueId val="{00000002-7100-4F28-AD42-1EA138550890}"/>
            </c:ext>
          </c:extLst>
        </c:ser>
        <c:dLbls>
          <c:showLegendKey val="0"/>
          <c:showVal val="0"/>
          <c:showCatName val="0"/>
          <c:showSerName val="0"/>
          <c:showPercent val="0"/>
          <c:showBubbleSize val="0"/>
        </c:dLbls>
        <c:gapWidth val="219"/>
        <c:overlap val="-27"/>
        <c:axId val="1331912496"/>
        <c:axId val="1324939888"/>
      </c:barChart>
      <c:catAx>
        <c:axId val="133191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939888"/>
        <c:crosses val="autoZero"/>
        <c:auto val="1"/>
        <c:lblAlgn val="ctr"/>
        <c:lblOffset val="100"/>
        <c:noMultiLvlLbl val="0"/>
      </c:catAx>
      <c:valAx>
        <c:axId val="13249398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912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[Ecommerce_Sales_Profit_Analysis.xlsx]Product Performance!PivotTable5</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Profit by Product</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Performance'!$B$3</c:f>
              <c:strCache>
                <c:ptCount val="1"/>
                <c:pt idx="0">
                  <c:v>Sum of Net Sale</c:v>
                </c:pt>
              </c:strCache>
            </c:strRef>
          </c:tx>
          <c:spPr>
            <a:solidFill>
              <a:schemeClr val="accent1"/>
            </a:solidFill>
            <a:ln>
              <a:noFill/>
            </a:ln>
            <a:effectLst/>
          </c:spPr>
          <c:invertIfNegative val="0"/>
          <c:cat>
            <c:strRef>
              <c:f>'Product Performance'!$A$4:$A$11</c:f>
              <c:strCache>
                <c:ptCount val="7"/>
                <c:pt idx="0">
                  <c:v>Headphones</c:v>
                </c:pt>
                <c:pt idx="1">
                  <c:v>Keyboard</c:v>
                </c:pt>
                <c:pt idx="2">
                  <c:v>Laptop</c:v>
                </c:pt>
                <c:pt idx="3">
                  <c:v>Monitor</c:v>
                </c:pt>
                <c:pt idx="4">
                  <c:v>Office Chair</c:v>
                </c:pt>
                <c:pt idx="5">
                  <c:v>Office Desk</c:v>
                </c:pt>
                <c:pt idx="6">
                  <c:v>Wireless Mouse</c:v>
                </c:pt>
              </c:strCache>
            </c:strRef>
          </c:cat>
          <c:val>
            <c:numRef>
              <c:f>'Product Performance'!$B$4:$B$11</c:f>
              <c:numCache>
                <c:formatCode>"₹"\ #,##0.00</c:formatCode>
                <c:ptCount val="7"/>
                <c:pt idx="0">
                  <c:v>71050</c:v>
                </c:pt>
                <c:pt idx="1">
                  <c:v>85000</c:v>
                </c:pt>
                <c:pt idx="2">
                  <c:v>753350</c:v>
                </c:pt>
                <c:pt idx="3">
                  <c:v>339480</c:v>
                </c:pt>
                <c:pt idx="4">
                  <c:v>132005</c:v>
                </c:pt>
                <c:pt idx="5">
                  <c:v>193820</c:v>
                </c:pt>
                <c:pt idx="6">
                  <c:v>77580</c:v>
                </c:pt>
              </c:numCache>
            </c:numRef>
          </c:val>
          <c:extLst>
            <c:ext xmlns:c16="http://schemas.microsoft.com/office/drawing/2014/chart" uri="{C3380CC4-5D6E-409C-BE32-E72D297353CC}">
              <c16:uniqueId val="{00000000-583D-4EB5-A833-DB7CA2FA6B78}"/>
            </c:ext>
          </c:extLst>
        </c:ser>
        <c:ser>
          <c:idx val="1"/>
          <c:order val="1"/>
          <c:tx>
            <c:strRef>
              <c:f>'Product Performance'!$C$3</c:f>
              <c:strCache>
                <c:ptCount val="1"/>
                <c:pt idx="0">
                  <c:v>Sum of Profit</c:v>
                </c:pt>
              </c:strCache>
            </c:strRef>
          </c:tx>
          <c:spPr>
            <a:solidFill>
              <a:schemeClr val="accent2"/>
            </a:solidFill>
            <a:ln>
              <a:noFill/>
            </a:ln>
            <a:effectLst/>
          </c:spPr>
          <c:invertIfNegative val="0"/>
          <c:cat>
            <c:strRef>
              <c:f>'Product Performance'!$A$4:$A$11</c:f>
              <c:strCache>
                <c:ptCount val="7"/>
                <c:pt idx="0">
                  <c:v>Headphones</c:v>
                </c:pt>
                <c:pt idx="1">
                  <c:v>Keyboard</c:v>
                </c:pt>
                <c:pt idx="2">
                  <c:v>Laptop</c:v>
                </c:pt>
                <c:pt idx="3">
                  <c:v>Monitor</c:v>
                </c:pt>
                <c:pt idx="4">
                  <c:v>Office Chair</c:v>
                </c:pt>
                <c:pt idx="5">
                  <c:v>Office Desk</c:v>
                </c:pt>
                <c:pt idx="6">
                  <c:v>Wireless Mouse</c:v>
                </c:pt>
              </c:strCache>
            </c:strRef>
          </c:cat>
          <c:val>
            <c:numRef>
              <c:f>'Product Performance'!$C$4:$C$11</c:f>
              <c:numCache>
                <c:formatCode>"₹"\ #,##0.00</c:formatCode>
                <c:ptCount val="7"/>
                <c:pt idx="0">
                  <c:v>26150</c:v>
                </c:pt>
                <c:pt idx="1">
                  <c:v>33650</c:v>
                </c:pt>
                <c:pt idx="2">
                  <c:v>73600</c:v>
                </c:pt>
                <c:pt idx="3">
                  <c:v>67130</c:v>
                </c:pt>
                <c:pt idx="4">
                  <c:v>25205</c:v>
                </c:pt>
                <c:pt idx="5">
                  <c:v>25970</c:v>
                </c:pt>
                <c:pt idx="6">
                  <c:v>31180</c:v>
                </c:pt>
              </c:numCache>
            </c:numRef>
          </c:val>
          <c:extLst>
            <c:ext xmlns:c16="http://schemas.microsoft.com/office/drawing/2014/chart" uri="{C3380CC4-5D6E-409C-BE32-E72D297353CC}">
              <c16:uniqueId val="{00000001-583D-4EB5-A833-DB7CA2FA6B78}"/>
            </c:ext>
          </c:extLst>
        </c:ser>
        <c:ser>
          <c:idx val="2"/>
          <c:order val="2"/>
          <c:tx>
            <c:strRef>
              <c:f>'Product Performance'!$D$3</c:f>
              <c:strCache>
                <c:ptCount val="1"/>
                <c:pt idx="0">
                  <c:v>Sum of Quantity</c:v>
                </c:pt>
              </c:strCache>
            </c:strRef>
          </c:tx>
          <c:spPr>
            <a:solidFill>
              <a:schemeClr val="accent3"/>
            </a:solidFill>
            <a:ln>
              <a:noFill/>
            </a:ln>
            <a:effectLst/>
          </c:spPr>
          <c:invertIfNegative val="0"/>
          <c:cat>
            <c:strRef>
              <c:f>'Product Performance'!$A$4:$A$11</c:f>
              <c:strCache>
                <c:ptCount val="7"/>
                <c:pt idx="0">
                  <c:v>Headphones</c:v>
                </c:pt>
                <c:pt idx="1">
                  <c:v>Keyboard</c:v>
                </c:pt>
                <c:pt idx="2">
                  <c:v>Laptop</c:v>
                </c:pt>
                <c:pt idx="3">
                  <c:v>Monitor</c:v>
                </c:pt>
                <c:pt idx="4">
                  <c:v>Office Chair</c:v>
                </c:pt>
                <c:pt idx="5">
                  <c:v>Office Desk</c:v>
                </c:pt>
                <c:pt idx="6">
                  <c:v>Wireless Mouse</c:v>
                </c:pt>
              </c:strCache>
            </c:strRef>
          </c:cat>
          <c:val>
            <c:numRef>
              <c:f>'Product Performance'!$D$4:$D$11</c:f>
              <c:numCache>
                <c:formatCode>General</c:formatCode>
                <c:ptCount val="7"/>
                <c:pt idx="0">
                  <c:v>21</c:v>
                </c:pt>
                <c:pt idx="1">
                  <c:v>36</c:v>
                </c:pt>
                <c:pt idx="2">
                  <c:v>13</c:v>
                </c:pt>
                <c:pt idx="3">
                  <c:v>20</c:v>
                </c:pt>
                <c:pt idx="4">
                  <c:v>17</c:v>
                </c:pt>
                <c:pt idx="5">
                  <c:v>10</c:v>
                </c:pt>
                <c:pt idx="6">
                  <c:v>70</c:v>
                </c:pt>
              </c:numCache>
            </c:numRef>
          </c:val>
          <c:extLst>
            <c:ext xmlns:c16="http://schemas.microsoft.com/office/drawing/2014/chart" uri="{C3380CC4-5D6E-409C-BE32-E72D297353CC}">
              <c16:uniqueId val="{00000002-583D-4EB5-A833-DB7CA2FA6B78}"/>
            </c:ext>
          </c:extLst>
        </c:ser>
        <c:ser>
          <c:idx val="3"/>
          <c:order val="3"/>
          <c:tx>
            <c:strRef>
              <c:f>'Product Performance'!$E$3</c:f>
              <c:strCache>
                <c:ptCount val="1"/>
                <c:pt idx="0">
                  <c:v>Sum of Profit Margin</c:v>
                </c:pt>
              </c:strCache>
            </c:strRef>
          </c:tx>
          <c:spPr>
            <a:solidFill>
              <a:schemeClr val="accent4"/>
            </a:solidFill>
            <a:ln>
              <a:noFill/>
            </a:ln>
            <a:effectLst/>
          </c:spPr>
          <c:invertIfNegative val="0"/>
          <c:cat>
            <c:strRef>
              <c:f>'Product Performance'!$A$4:$A$11</c:f>
              <c:strCache>
                <c:ptCount val="7"/>
                <c:pt idx="0">
                  <c:v>Headphones</c:v>
                </c:pt>
                <c:pt idx="1">
                  <c:v>Keyboard</c:v>
                </c:pt>
                <c:pt idx="2">
                  <c:v>Laptop</c:v>
                </c:pt>
                <c:pt idx="3">
                  <c:v>Monitor</c:v>
                </c:pt>
                <c:pt idx="4">
                  <c:v>Office Chair</c:v>
                </c:pt>
                <c:pt idx="5">
                  <c:v>Office Desk</c:v>
                </c:pt>
                <c:pt idx="6">
                  <c:v>Wireless Mouse</c:v>
                </c:pt>
              </c:strCache>
            </c:strRef>
          </c:cat>
          <c:val>
            <c:numRef>
              <c:f>'Product Performance'!$E$4:$E$11</c:f>
              <c:numCache>
                <c:formatCode>0.00%</c:formatCode>
                <c:ptCount val="7"/>
                <c:pt idx="0">
                  <c:v>1.1015753669889008</c:v>
                </c:pt>
                <c:pt idx="1">
                  <c:v>1.6037681159420289</c:v>
                </c:pt>
                <c:pt idx="2">
                  <c:v>0.65470587882723852</c:v>
                </c:pt>
                <c:pt idx="3">
                  <c:v>0.98563366952001585</c:v>
                </c:pt>
                <c:pt idx="4">
                  <c:v>0.80228326912387637</c:v>
                </c:pt>
                <c:pt idx="5">
                  <c:v>0.580905392701762</c:v>
                </c:pt>
                <c:pt idx="6">
                  <c:v>1.6077520774102581</c:v>
                </c:pt>
              </c:numCache>
            </c:numRef>
          </c:val>
          <c:extLst>
            <c:ext xmlns:c16="http://schemas.microsoft.com/office/drawing/2014/chart" uri="{C3380CC4-5D6E-409C-BE32-E72D297353CC}">
              <c16:uniqueId val="{00000003-583D-4EB5-A833-DB7CA2FA6B78}"/>
            </c:ext>
          </c:extLst>
        </c:ser>
        <c:dLbls>
          <c:showLegendKey val="0"/>
          <c:showVal val="0"/>
          <c:showCatName val="0"/>
          <c:showSerName val="0"/>
          <c:showPercent val="0"/>
          <c:showBubbleSize val="0"/>
        </c:dLbls>
        <c:gapWidth val="219"/>
        <c:overlap val="-27"/>
        <c:axId val="1381389312"/>
        <c:axId val="1324911088"/>
      </c:barChart>
      <c:catAx>
        <c:axId val="138138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911088"/>
        <c:crosses val="autoZero"/>
        <c:auto val="1"/>
        <c:lblAlgn val="ctr"/>
        <c:lblOffset val="100"/>
        <c:noMultiLvlLbl val="0"/>
      </c:catAx>
      <c:valAx>
        <c:axId val="13249110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38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[Ecommerce_Sales_Profit_Analysis.xlsx]Segment Analysis!PivotTable4</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Sales by Segment</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'Segment Analysis'!$B$3</c:f>
              <c:strCache>
                <c:ptCount val="1"/>
                <c:pt idx="0">
                  <c:v>Sum of Net Sale</c:v>
                </c:pt>
              </c:strCache>
            </c:strRef>
          </c:tx>
          <c:spPr>
            <a:solidFill>
              <a:schemeClr val="accent1"/>
            </a:solidFill>
            <a:ln>
              <a:noFill/>
            </a:ln>
            <a:effectLst/>
          </c:spPr>
          <c:invertIfNegative val="0"/>
          <c:cat>
            <c:strRef>
              <c:f>'Segment Analysis'!$A$4:$A$7</c:f>
              <c:strCache>
                <c:ptCount val="3"/>
                <c:pt idx="0">
                  <c:v>Consumer</c:v>
                </c:pt>
                <c:pt idx="1">
                  <c:v>Corporate</c:v>
                </c:pt>
                <c:pt idx="2">
                  <c:v>Small Business</c:v>
                </c:pt>
              </c:strCache>
            </c:strRef>
          </c:cat>
          <c:val>
            <c:numRef>
              <c:f>'Segment Analysis'!$B$4:$B$7</c:f>
              <c:numCache>
                <c:formatCode>"₹"\ #,##0.00</c:formatCode>
                <c:ptCount val="3"/>
                <c:pt idx="0">
                  <c:v>531850</c:v>
                </c:pt>
                <c:pt idx="1">
                  <c:v>768320</c:v>
                </c:pt>
                <c:pt idx="2">
                  <c:v>352115</c:v>
                </c:pt>
              </c:numCache>
            </c:numRef>
          </c:val>
          <c:extLst>
            <c:ext xmlns:c16="http://schemas.microsoft.com/office/drawing/2014/chart" uri="{C3380CC4-5D6E-409C-BE32-E72D297353CC}">
              <c16:uniqueId val="{00000000-44FE-4FC8-80CE-668064EFC8E5}"/>
            </c:ext>
          </c:extLst>
        </c:ser>
        <c:ser>
          <c:idx val="1"/>
          <c:order val="1"/>
          <c:tx>
            <c:strRef>
              <c:f>'Segment Analysis'!$C$3</c:f>
              <c:strCache>
                <c:ptCount val="1"/>
                <c:pt idx="0">
                  <c:v>Sum of Profit</c:v>
                </c:pt>
              </c:strCache>
            </c:strRef>
          </c:tx>
          <c:spPr>
            <a:solidFill>
              <a:schemeClr val="accent2"/>
            </a:solidFill>
            <a:ln>
              <a:noFill/>
            </a:ln>
            <a:effectLst/>
          </c:spPr>
          <c:invertIfNegative val="0"/>
          <c:cat>
            <c:strRef>
              <c:f>'Segment Analysis'!$A$4:$A$7</c:f>
              <c:strCache>
                <c:ptCount val="3"/>
                <c:pt idx="0">
                  <c:v>Consumer</c:v>
                </c:pt>
                <c:pt idx="1">
                  <c:v>Corporate</c:v>
                </c:pt>
                <c:pt idx="2">
                  <c:v>Small Business</c:v>
                </c:pt>
              </c:strCache>
            </c:strRef>
          </c:cat>
          <c:val>
            <c:numRef>
              <c:f>'Segment Analysis'!$C$4:$C$7</c:f>
              <c:numCache>
                <c:formatCode>"₹"\ #,##0.00</c:formatCode>
                <c:ptCount val="3"/>
                <c:pt idx="0">
                  <c:v>116000</c:v>
                </c:pt>
                <c:pt idx="1">
                  <c:v>89870</c:v>
                </c:pt>
                <c:pt idx="2">
                  <c:v>77015</c:v>
                </c:pt>
              </c:numCache>
            </c:numRef>
          </c:val>
          <c:extLst>
            <c:ext xmlns:c16="http://schemas.microsoft.com/office/drawing/2014/chart" uri="{C3380CC4-5D6E-409C-BE32-E72D297353CC}">
              <c16:uniqueId val="{00000001-44FE-4FC8-80CE-668064EFC8E5}"/>
            </c:ext>
          </c:extLst>
        </c:ser>
        <c:ser>
          <c:idx val="2"/>
          <c:order val="2"/>
          <c:tx>
            <c:strRef>
              <c:f>'Segment Analysis'!$D$3</c:f>
              <c:strCache>
                <c:ptCount val="1"/>
                <c:pt idx="0">
                  <c:v>Sum of Order ID</c:v>
                </c:pt>
              </c:strCache>
            </c:strRef>
          </c:tx>
          <c:spPr>
            <a:solidFill>
              <a:schemeClr val="accent3"/>
            </a:solidFill>
            <a:ln>
              <a:noFill/>
            </a:ln>
            <a:effectLst/>
          </c:spPr>
          <c:invertIfNegative val="0"/>
          <c:cat>
            <c:strRef>
              <c:f>'Segment Analysis'!$A$4:$A$7</c:f>
              <c:strCache>
                <c:ptCount val="3"/>
                <c:pt idx="0">
                  <c:v>Consumer</c:v>
                </c:pt>
                <c:pt idx="1">
                  <c:v>Corporate</c:v>
                </c:pt>
                <c:pt idx="2">
                  <c:v>Small Business</c:v>
                </c:pt>
              </c:strCache>
            </c:strRef>
          </c:cat>
          <c:val>
            <c:numRef>
              <c:f>'Segment Analysis'!$D$4:$D$7</c:f>
              <c:numCache>
                <c:formatCode>General</c:formatCode>
                <c:ptCount val="3"/>
                <c:pt idx="0">
                  <c:v>26201</c:v>
                </c:pt>
                <c:pt idx="1">
                  <c:v>18139</c:v>
                </c:pt>
                <c:pt idx="2">
                  <c:v>16125</c:v>
                </c:pt>
              </c:numCache>
            </c:numRef>
          </c:val>
          <c:extLst>
            <c:ext xmlns:c16="http://schemas.microsoft.com/office/drawing/2014/chart" uri="{C3380CC4-5D6E-409C-BE32-E72D297353CC}">
              <c16:uniqueId val="{00000002-44FE-4FC8-80CE-668064EFC8E5}"/>
            </c:ext>
          </c:extLst>
        </c:ser>
        <c:dLbls>
          <c:showLegendKey val="0"/>
          <c:showVal val="0"/>
          <c:showCatName val="0"/>
          <c:showSerName val="0"/>
          <c:showPercent val="0"/>
          <c:showBubbleSize val="0"/>
        </c:dLbls>
        <c:gapWidth val="219"/>
        <c:overlap val="-27"/>
        <c:axId val="1381125024"/>
        <c:axId val="1324920208"/>
      </c:barChart>
      <c:catAx>
        <c:axId val="138112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920208"/>
        <c:crosses val="autoZero"/>
        <c:auto val="1"/>
        <c:lblAlgn val="ctr"/>
        <c:lblOffset val="100"/>
        <c:noMultiLvlLbl val="0"/>
      </c:catAx>
      <c:valAx>
        <c:axId val="13249202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125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[Ecommerce_Sales_Profit_Analysis.xlsx]Daily Sales &amp; Profit!PivotTable7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Daily Sales Trend</a:t>
            </a:r>
            <a:r>
              <a:rPr lang="en-IN"/>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3169291338583"/>
          <c:y val="0.14249781277340332"/>
          <c:w val="0.56585826771653547"/>
          <c:h val="0.51535943423738695"/>
        </c:manualLayout>
      </c:layout>
      <c:barChart>
        <c:barDir val="col"/>
        <c:grouping val="clustered"/>
        <c:varyColors val="0"/>
        <c:ser>
          <c:idx val="0"/>
          <c:order val="0"/>
          <c:tx>
            <c:strRef>
              <c:f>'Daily Sales &amp; Profit'!$B$3</c:f>
              <c:strCache>
                <c:ptCount val="1"/>
                <c:pt idx="0">
                  <c:v>Sum of Net Sale</c:v>
                </c:pt>
              </c:strCache>
            </c:strRef>
          </c:tx>
          <c:spPr>
            <a:solidFill>
              <a:schemeClr val="accent1"/>
            </a:solidFill>
            <a:ln>
              <a:noFill/>
            </a:ln>
            <a:effectLst/>
          </c:spPr>
          <c:invertIfNegative val="0"/>
          <c:cat>
            <c:strRef>
              <c:f>'Daily Sales &amp; Profit'!$A$4:$A$34</c:f>
              <c:strCache>
                <c:ptCount val="30"/>
                <c:pt idx="0">
                  <c:v>01-09-2026</c:v>
                </c:pt>
                <c:pt idx="1">
                  <c:v>02-09-2026</c:v>
                </c:pt>
                <c:pt idx="2">
                  <c:v>03-09-2026</c:v>
                </c:pt>
                <c:pt idx="3">
                  <c:v>04-09-2026</c:v>
                </c:pt>
                <c:pt idx="4">
                  <c:v>05-09-2026</c:v>
                </c:pt>
                <c:pt idx="5">
                  <c:v>06-09-2026</c:v>
                </c:pt>
                <c:pt idx="6">
                  <c:v>07-09-2026</c:v>
                </c:pt>
                <c:pt idx="7">
                  <c:v>08-09-2026</c:v>
                </c:pt>
                <c:pt idx="8">
                  <c:v>09-09-2026</c:v>
                </c:pt>
                <c:pt idx="9">
                  <c:v>10-09-2026</c:v>
                </c:pt>
                <c:pt idx="10">
                  <c:v>11-09-2026</c:v>
                </c:pt>
                <c:pt idx="11">
                  <c:v>12-09-2026</c:v>
                </c:pt>
                <c:pt idx="12">
                  <c:v>13-09-2026</c:v>
                </c:pt>
                <c:pt idx="13">
                  <c:v>14-09-2026</c:v>
                </c:pt>
                <c:pt idx="14">
                  <c:v>15-09-2026</c:v>
                </c:pt>
                <c:pt idx="15">
                  <c:v>16-09-2026</c:v>
                </c:pt>
                <c:pt idx="16">
                  <c:v>17-09-2026</c:v>
                </c:pt>
                <c:pt idx="17">
                  <c:v>18-09-2026</c:v>
                </c:pt>
                <c:pt idx="18">
                  <c:v>19-09-2026</c:v>
                </c:pt>
                <c:pt idx="19">
                  <c:v>20-09-2026</c:v>
                </c:pt>
                <c:pt idx="20">
                  <c:v>21-09-2026</c:v>
                </c:pt>
                <c:pt idx="21">
                  <c:v>22-09-2026</c:v>
                </c:pt>
                <c:pt idx="22">
                  <c:v>23-09-2026</c:v>
                </c:pt>
                <c:pt idx="23">
                  <c:v>24-09-2026</c:v>
                </c:pt>
                <c:pt idx="24">
                  <c:v>25-09-2026</c:v>
                </c:pt>
                <c:pt idx="25">
                  <c:v>26-09-2026</c:v>
                </c:pt>
                <c:pt idx="26">
                  <c:v>27-09-2026</c:v>
                </c:pt>
                <c:pt idx="27">
                  <c:v>28-09-2026</c:v>
                </c:pt>
                <c:pt idx="28">
                  <c:v>29-09-2026</c:v>
                </c:pt>
                <c:pt idx="29">
                  <c:v>30-09-2026</c:v>
                </c:pt>
              </c:strCache>
            </c:strRef>
          </c:cat>
          <c:val>
            <c:numRef>
              <c:f>'Daily Sales &amp; Profit'!$B$4:$B$34</c:f>
              <c:numCache>
                <c:formatCode>"₹"\ #,##0.00</c:formatCode>
                <c:ptCount val="30"/>
                <c:pt idx="0">
                  <c:v>123500</c:v>
                </c:pt>
                <c:pt idx="1">
                  <c:v>30600</c:v>
                </c:pt>
                <c:pt idx="2">
                  <c:v>11400</c:v>
                </c:pt>
                <c:pt idx="3">
                  <c:v>49680</c:v>
                </c:pt>
                <c:pt idx="4">
                  <c:v>38720</c:v>
                </c:pt>
                <c:pt idx="5">
                  <c:v>20000</c:v>
                </c:pt>
                <c:pt idx="6">
                  <c:v>60450</c:v>
                </c:pt>
                <c:pt idx="7">
                  <c:v>16625</c:v>
                </c:pt>
                <c:pt idx="8">
                  <c:v>97200</c:v>
                </c:pt>
                <c:pt idx="9">
                  <c:v>17000</c:v>
                </c:pt>
                <c:pt idx="10">
                  <c:v>16560</c:v>
                </c:pt>
                <c:pt idx="11">
                  <c:v>171600</c:v>
                </c:pt>
                <c:pt idx="12">
                  <c:v>20900</c:v>
                </c:pt>
                <c:pt idx="13">
                  <c:v>27000</c:v>
                </c:pt>
                <c:pt idx="14">
                  <c:v>68400</c:v>
                </c:pt>
                <c:pt idx="15">
                  <c:v>24500</c:v>
                </c:pt>
                <c:pt idx="16">
                  <c:v>117000</c:v>
                </c:pt>
                <c:pt idx="17">
                  <c:v>39525</c:v>
                </c:pt>
                <c:pt idx="18">
                  <c:v>21120</c:v>
                </c:pt>
                <c:pt idx="19">
                  <c:v>34200</c:v>
                </c:pt>
                <c:pt idx="20">
                  <c:v>23000</c:v>
                </c:pt>
                <c:pt idx="21">
                  <c:v>221000</c:v>
                </c:pt>
                <c:pt idx="22">
                  <c:v>59400</c:v>
                </c:pt>
                <c:pt idx="23">
                  <c:v>29925</c:v>
                </c:pt>
                <c:pt idx="24">
                  <c:v>90000</c:v>
                </c:pt>
                <c:pt idx="25">
                  <c:v>44880</c:v>
                </c:pt>
                <c:pt idx="26">
                  <c:v>28500</c:v>
                </c:pt>
                <c:pt idx="27">
                  <c:v>59800</c:v>
                </c:pt>
                <c:pt idx="28">
                  <c:v>74800</c:v>
                </c:pt>
                <c:pt idx="29">
                  <c:v>15000</c:v>
                </c:pt>
              </c:numCache>
            </c:numRef>
          </c:val>
          <c:extLst>
            <c:ext xmlns:c16="http://schemas.microsoft.com/office/drawing/2014/chart" uri="{C3380CC4-5D6E-409C-BE32-E72D297353CC}">
              <c16:uniqueId val="{00000000-4922-4880-A5CC-44191BF6E8E5}"/>
            </c:ext>
          </c:extLst>
        </c:ser>
        <c:ser>
          <c:idx val="1"/>
          <c:order val="1"/>
          <c:tx>
            <c:strRef>
              <c:f>'Daily Sales &amp; Profit'!$C$3</c:f>
              <c:strCache>
                <c:ptCount val="1"/>
                <c:pt idx="0">
                  <c:v>Sum of Profit</c:v>
                </c:pt>
              </c:strCache>
            </c:strRef>
          </c:tx>
          <c:spPr>
            <a:solidFill>
              <a:schemeClr val="accent2"/>
            </a:solidFill>
            <a:ln>
              <a:noFill/>
            </a:ln>
            <a:effectLst/>
          </c:spPr>
          <c:invertIfNegative val="0"/>
          <c:cat>
            <c:strRef>
              <c:f>'Daily Sales &amp; Profit'!$A$4:$A$34</c:f>
              <c:strCache>
                <c:ptCount val="30"/>
                <c:pt idx="0">
                  <c:v>01-09-2026</c:v>
                </c:pt>
                <c:pt idx="1">
                  <c:v>02-09-2026</c:v>
                </c:pt>
                <c:pt idx="2">
                  <c:v>03-09-2026</c:v>
                </c:pt>
                <c:pt idx="3">
                  <c:v>04-09-2026</c:v>
                </c:pt>
                <c:pt idx="4">
                  <c:v>05-09-2026</c:v>
                </c:pt>
                <c:pt idx="5">
                  <c:v>06-09-2026</c:v>
                </c:pt>
                <c:pt idx="6">
                  <c:v>07-09-2026</c:v>
                </c:pt>
                <c:pt idx="7">
                  <c:v>08-09-2026</c:v>
                </c:pt>
                <c:pt idx="8">
                  <c:v>09-09-2026</c:v>
                </c:pt>
                <c:pt idx="9">
                  <c:v>10-09-2026</c:v>
                </c:pt>
                <c:pt idx="10">
                  <c:v>11-09-2026</c:v>
                </c:pt>
                <c:pt idx="11">
                  <c:v>12-09-2026</c:v>
                </c:pt>
                <c:pt idx="12">
                  <c:v>13-09-2026</c:v>
                </c:pt>
                <c:pt idx="13">
                  <c:v>14-09-2026</c:v>
                </c:pt>
                <c:pt idx="14">
                  <c:v>15-09-2026</c:v>
                </c:pt>
                <c:pt idx="15">
                  <c:v>16-09-2026</c:v>
                </c:pt>
                <c:pt idx="16">
                  <c:v>17-09-2026</c:v>
                </c:pt>
                <c:pt idx="17">
                  <c:v>18-09-2026</c:v>
                </c:pt>
                <c:pt idx="18">
                  <c:v>19-09-2026</c:v>
                </c:pt>
                <c:pt idx="19">
                  <c:v>20-09-2026</c:v>
                </c:pt>
                <c:pt idx="20">
                  <c:v>21-09-2026</c:v>
                </c:pt>
                <c:pt idx="21">
                  <c:v>22-09-2026</c:v>
                </c:pt>
                <c:pt idx="22">
                  <c:v>23-09-2026</c:v>
                </c:pt>
                <c:pt idx="23">
                  <c:v>24-09-2026</c:v>
                </c:pt>
                <c:pt idx="24">
                  <c:v>25-09-2026</c:v>
                </c:pt>
                <c:pt idx="25">
                  <c:v>26-09-2026</c:v>
                </c:pt>
                <c:pt idx="26">
                  <c:v>27-09-2026</c:v>
                </c:pt>
                <c:pt idx="27">
                  <c:v>28-09-2026</c:v>
                </c:pt>
                <c:pt idx="28">
                  <c:v>29-09-2026</c:v>
                </c:pt>
                <c:pt idx="29">
                  <c:v>30-09-2026</c:v>
                </c:pt>
              </c:strCache>
            </c:strRef>
          </c:cat>
          <c:val>
            <c:numRef>
              <c:f>'Daily Sales &amp; Profit'!$C$4:$C$34</c:f>
              <c:numCache>
                <c:formatCode>"₹"\ #,##0.00</c:formatCode>
                <c:ptCount val="30"/>
                <c:pt idx="0">
                  <c:v>19000</c:v>
                </c:pt>
                <c:pt idx="1">
                  <c:v>5500</c:v>
                </c:pt>
                <c:pt idx="2">
                  <c:v>4750</c:v>
                </c:pt>
                <c:pt idx="3">
                  <c:v>8730</c:v>
                </c:pt>
                <c:pt idx="4">
                  <c:v>5020</c:v>
                </c:pt>
                <c:pt idx="5">
                  <c:v>8600</c:v>
                </c:pt>
                <c:pt idx="6">
                  <c:v>7950</c:v>
                </c:pt>
                <c:pt idx="7">
                  <c:v>5875</c:v>
                </c:pt>
                <c:pt idx="8">
                  <c:v>15600</c:v>
                </c:pt>
                <c:pt idx="9">
                  <c:v>4350</c:v>
                </c:pt>
                <c:pt idx="10">
                  <c:v>6610</c:v>
                </c:pt>
                <c:pt idx="11">
                  <c:v>14850</c:v>
                </c:pt>
                <c:pt idx="12">
                  <c:v>4050</c:v>
                </c:pt>
                <c:pt idx="13">
                  <c:v>9900</c:v>
                </c:pt>
                <c:pt idx="14">
                  <c:v>13900</c:v>
                </c:pt>
                <c:pt idx="15">
                  <c:v>9550</c:v>
                </c:pt>
                <c:pt idx="16">
                  <c:v>12400</c:v>
                </c:pt>
                <c:pt idx="17">
                  <c:v>8125</c:v>
                </c:pt>
                <c:pt idx="18">
                  <c:v>7870</c:v>
                </c:pt>
                <c:pt idx="19">
                  <c:v>6900</c:v>
                </c:pt>
                <c:pt idx="20">
                  <c:v>8750</c:v>
                </c:pt>
                <c:pt idx="21">
                  <c:v>12100</c:v>
                </c:pt>
                <c:pt idx="22">
                  <c:v>9100</c:v>
                </c:pt>
                <c:pt idx="23">
                  <c:v>10725</c:v>
                </c:pt>
                <c:pt idx="24">
                  <c:v>22000</c:v>
                </c:pt>
                <c:pt idx="25">
                  <c:v>7230</c:v>
                </c:pt>
                <c:pt idx="26">
                  <c:v>11950</c:v>
                </c:pt>
                <c:pt idx="27">
                  <c:v>7300</c:v>
                </c:pt>
                <c:pt idx="28">
                  <c:v>7800</c:v>
                </c:pt>
                <c:pt idx="29">
                  <c:v>6400</c:v>
                </c:pt>
              </c:numCache>
            </c:numRef>
          </c:val>
          <c:extLst>
            <c:ext xmlns:c16="http://schemas.microsoft.com/office/drawing/2014/chart" uri="{C3380CC4-5D6E-409C-BE32-E72D297353CC}">
              <c16:uniqueId val="{00000001-4922-4880-A5CC-44191BF6E8E5}"/>
            </c:ext>
          </c:extLst>
        </c:ser>
        <c:ser>
          <c:idx val="2"/>
          <c:order val="2"/>
          <c:tx>
            <c:strRef>
              <c:f>'Daily Sales &amp; Profit'!$D$3</c:f>
              <c:strCache>
                <c:ptCount val="1"/>
                <c:pt idx="0">
                  <c:v>Sum of Quantity</c:v>
                </c:pt>
              </c:strCache>
            </c:strRef>
          </c:tx>
          <c:spPr>
            <a:solidFill>
              <a:schemeClr val="accent3"/>
            </a:solidFill>
            <a:ln>
              <a:noFill/>
            </a:ln>
            <a:effectLst/>
          </c:spPr>
          <c:invertIfNegative val="0"/>
          <c:cat>
            <c:strRef>
              <c:f>'Daily Sales &amp; Profit'!$A$4:$A$34</c:f>
              <c:strCache>
                <c:ptCount val="30"/>
                <c:pt idx="0">
                  <c:v>01-09-2026</c:v>
                </c:pt>
                <c:pt idx="1">
                  <c:v>02-09-2026</c:v>
                </c:pt>
                <c:pt idx="2">
                  <c:v>03-09-2026</c:v>
                </c:pt>
                <c:pt idx="3">
                  <c:v>04-09-2026</c:v>
                </c:pt>
                <c:pt idx="4">
                  <c:v>05-09-2026</c:v>
                </c:pt>
                <c:pt idx="5">
                  <c:v>06-09-2026</c:v>
                </c:pt>
                <c:pt idx="6">
                  <c:v>07-09-2026</c:v>
                </c:pt>
                <c:pt idx="7">
                  <c:v>08-09-2026</c:v>
                </c:pt>
                <c:pt idx="8">
                  <c:v>09-09-2026</c:v>
                </c:pt>
                <c:pt idx="9">
                  <c:v>10-09-2026</c:v>
                </c:pt>
                <c:pt idx="10">
                  <c:v>11-09-2026</c:v>
                </c:pt>
                <c:pt idx="11">
                  <c:v>12-09-2026</c:v>
                </c:pt>
                <c:pt idx="12">
                  <c:v>13-09-2026</c:v>
                </c:pt>
                <c:pt idx="13">
                  <c:v>14-09-2026</c:v>
                </c:pt>
                <c:pt idx="14">
                  <c:v>15-09-2026</c:v>
                </c:pt>
                <c:pt idx="15">
                  <c:v>16-09-2026</c:v>
                </c:pt>
                <c:pt idx="16">
                  <c:v>17-09-2026</c:v>
                </c:pt>
                <c:pt idx="17">
                  <c:v>18-09-2026</c:v>
                </c:pt>
                <c:pt idx="18">
                  <c:v>19-09-2026</c:v>
                </c:pt>
                <c:pt idx="19">
                  <c:v>20-09-2026</c:v>
                </c:pt>
                <c:pt idx="20">
                  <c:v>21-09-2026</c:v>
                </c:pt>
                <c:pt idx="21">
                  <c:v>22-09-2026</c:v>
                </c:pt>
                <c:pt idx="22">
                  <c:v>23-09-2026</c:v>
                </c:pt>
                <c:pt idx="23">
                  <c:v>24-09-2026</c:v>
                </c:pt>
                <c:pt idx="24">
                  <c:v>25-09-2026</c:v>
                </c:pt>
                <c:pt idx="25">
                  <c:v>26-09-2026</c:v>
                </c:pt>
                <c:pt idx="26">
                  <c:v>27-09-2026</c:v>
                </c:pt>
                <c:pt idx="27">
                  <c:v>28-09-2026</c:v>
                </c:pt>
                <c:pt idx="28">
                  <c:v>29-09-2026</c:v>
                </c:pt>
                <c:pt idx="29">
                  <c:v>30-09-2026</c:v>
                </c:pt>
              </c:strCache>
            </c:strRef>
          </c:cat>
          <c:val>
            <c:numRef>
              <c:f>'Daily Sales &amp; Profit'!$D$4:$D$34</c:f>
              <c:numCache>
                <c:formatCode>General</c:formatCode>
                <c:ptCount val="30"/>
                <c:pt idx="0">
                  <c:v>2</c:v>
                </c:pt>
                <c:pt idx="1">
                  <c:v>4</c:v>
                </c:pt>
                <c:pt idx="2">
                  <c:v>10</c:v>
                </c:pt>
                <c:pt idx="3">
                  <c:v>3</c:v>
                </c:pt>
                <c:pt idx="4">
                  <c:v>2</c:v>
                </c:pt>
                <c:pt idx="5">
                  <c:v>8</c:v>
                </c:pt>
                <c:pt idx="6">
                  <c:v>1</c:v>
                </c:pt>
                <c:pt idx="7">
                  <c:v>5</c:v>
                </c:pt>
                <c:pt idx="8">
                  <c:v>6</c:v>
                </c:pt>
                <c:pt idx="9">
                  <c:v>2</c:v>
                </c:pt>
                <c:pt idx="10">
                  <c:v>15</c:v>
                </c:pt>
                <c:pt idx="11">
                  <c:v>3</c:v>
                </c:pt>
                <c:pt idx="12">
                  <c:v>1</c:v>
                </c:pt>
                <c:pt idx="13">
                  <c:v>12</c:v>
                </c:pt>
                <c:pt idx="14">
                  <c:v>4</c:v>
                </c:pt>
                <c:pt idx="15">
                  <c:v>7</c:v>
                </c:pt>
                <c:pt idx="16">
                  <c:v>2</c:v>
                </c:pt>
                <c:pt idx="17">
                  <c:v>5</c:v>
                </c:pt>
                <c:pt idx="18">
                  <c:v>20</c:v>
                </c:pt>
                <c:pt idx="19">
                  <c:v>2</c:v>
                </c:pt>
                <c:pt idx="20">
                  <c:v>10</c:v>
                </c:pt>
                <c:pt idx="21">
                  <c:v>4</c:v>
                </c:pt>
                <c:pt idx="22">
                  <c:v>3</c:v>
                </c:pt>
                <c:pt idx="23">
                  <c:v>9</c:v>
                </c:pt>
                <c:pt idx="24">
                  <c:v>5</c:v>
                </c:pt>
                <c:pt idx="25">
                  <c:v>6</c:v>
                </c:pt>
                <c:pt idx="26">
                  <c:v>25</c:v>
                </c:pt>
                <c:pt idx="27">
                  <c:v>1</c:v>
                </c:pt>
                <c:pt idx="28">
                  <c:v>4</c:v>
                </c:pt>
                <c:pt idx="29">
                  <c:v>6</c:v>
                </c:pt>
              </c:numCache>
            </c:numRef>
          </c:val>
          <c:extLst>
            <c:ext xmlns:c16="http://schemas.microsoft.com/office/drawing/2014/chart" uri="{C3380CC4-5D6E-409C-BE32-E72D297353CC}">
              <c16:uniqueId val="{00000002-4922-4880-A5CC-44191BF6E8E5}"/>
            </c:ext>
          </c:extLst>
        </c:ser>
        <c:dLbls>
          <c:showLegendKey val="0"/>
          <c:showVal val="0"/>
          <c:showCatName val="0"/>
          <c:showSerName val="0"/>
          <c:showPercent val="0"/>
          <c:showBubbleSize val="0"/>
        </c:dLbls>
        <c:gapWidth val="219"/>
        <c:overlap val="-27"/>
        <c:axId val="1381149152"/>
        <c:axId val="1324953808"/>
      </c:barChart>
      <c:catAx>
        <c:axId val="138114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953808"/>
        <c:crosses val="autoZero"/>
        <c:auto val="1"/>
        <c:lblAlgn val="ctr"/>
        <c:lblOffset val="100"/>
        <c:noMultiLvlLbl val="0"/>
      </c:catAx>
      <c:valAx>
        <c:axId val="13249538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14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268941</xdr:colOff>
      <xdr:row>4</xdr:row>
      <xdr:rowOff>51099</xdr:rowOff>
    </xdr:from>
    <xdr:to>
      <xdr:col>6</xdr:col>
      <xdr:colOff>299421</xdr:colOff>
      <xdr:row>18</xdr:row>
      <xdr:rowOff>24205</xdr:rowOff>
    </xdr:to>
    <xdr:graphicFrame macro="">
      <xdr:nvGraphicFramePr>
        <xdr:cNvPr id="2" name="Chart 1">
          <a:extLst>
            <a:ext uri="{FF2B5EF4-FFF2-40B4-BE49-F238E27FC236}">
              <a16:creationId xmlns:a16="http://schemas.microsoft.com/office/drawing/2014/main" id="{94F0D53C-3754-47AA-860A-00B5B2318F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4</xdr:row>
      <xdr:rowOff>15240</xdr:rowOff>
    </xdr:from>
    <xdr:to>
      <xdr:col>13</xdr:col>
      <xdr:colOff>7620</xdr:colOff>
      <xdr:row>18</xdr:row>
      <xdr:rowOff>15240</xdr:rowOff>
    </xdr:to>
    <xdr:graphicFrame macro="">
      <xdr:nvGraphicFramePr>
        <xdr:cNvPr id="3" name="Chart 2">
          <a:extLst>
            <a:ext uri="{FF2B5EF4-FFF2-40B4-BE49-F238E27FC236}">
              <a16:creationId xmlns:a16="http://schemas.microsoft.com/office/drawing/2014/main" id="{2D5130C6-967D-41AB-B0E6-2E9B01B28F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7620</xdr:rowOff>
    </xdr:from>
    <xdr:to>
      <xdr:col>6</xdr:col>
      <xdr:colOff>0</xdr:colOff>
      <xdr:row>32</xdr:row>
      <xdr:rowOff>0</xdr:rowOff>
    </xdr:to>
    <xdr:graphicFrame macro="">
      <xdr:nvGraphicFramePr>
        <xdr:cNvPr id="4" name="Chart 3">
          <a:extLst>
            <a:ext uri="{FF2B5EF4-FFF2-40B4-BE49-F238E27FC236}">
              <a16:creationId xmlns:a16="http://schemas.microsoft.com/office/drawing/2014/main" id="{AFED8280-687C-46A3-8CD1-E9CBD9E34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7620</xdr:colOff>
      <xdr:row>18</xdr:row>
      <xdr:rowOff>175260</xdr:rowOff>
    </xdr:from>
    <xdr:to>
      <xdr:col>12</xdr:col>
      <xdr:colOff>579120</xdr:colOff>
      <xdr:row>32</xdr:row>
      <xdr:rowOff>15240</xdr:rowOff>
    </xdr:to>
    <xdr:graphicFrame macro="">
      <xdr:nvGraphicFramePr>
        <xdr:cNvPr id="5" name="Chart 4">
          <a:extLst>
            <a:ext uri="{FF2B5EF4-FFF2-40B4-BE49-F238E27FC236}">
              <a16:creationId xmlns:a16="http://schemas.microsoft.com/office/drawing/2014/main" id="{543778C1-8480-42BB-9DE3-10C0E2E64F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480060</xdr:colOff>
      <xdr:row>33</xdr:row>
      <xdr:rowOff>0</xdr:rowOff>
    </xdr:from>
    <xdr:to>
      <xdr:col>9</xdr:col>
      <xdr:colOff>754380</xdr:colOff>
      <xdr:row>49</xdr:row>
      <xdr:rowOff>0</xdr:rowOff>
    </xdr:to>
    <xdr:graphicFrame macro="">
      <xdr:nvGraphicFramePr>
        <xdr:cNvPr id="6" name="Chart 5">
          <a:extLst>
            <a:ext uri="{FF2B5EF4-FFF2-40B4-BE49-F238E27FC236}">
              <a16:creationId xmlns:a16="http://schemas.microsoft.com/office/drawing/2014/main" id="{44C775C7-B0E0-4B2D-AEB3-29749CEDB0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60960</xdr:colOff>
      <xdr:row>4</xdr:row>
      <xdr:rowOff>22861</xdr:rowOff>
    </xdr:from>
    <xdr:to>
      <xdr:col>16</xdr:col>
      <xdr:colOff>60960</xdr:colOff>
      <xdr:row>12</xdr:row>
      <xdr:rowOff>76201</xdr:rowOff>
    </xdr:to>
    <mc:AlternateContent xmlns:mc="http://schemas.openxmlformats.org/markup-compatibility/2006">
      <mc:Choice xmlns:a14="http://schemas.microsoft.com/office/drawing/2010/main" Requires="a14">
        <xdr:graphicFrame macro="">
          <xdr:nvGraphicFramePr>
            <xdr:cNvPr id="12" name="Region 1">
              <a:extLst>
                <a:ext uri="{FF2B5EF4-FFF2-40B4-BE49-F238E27FC236}">
                  <a16:creationId xmlns:a16="http://schemas.microsoft.com/office/drawing/2014/main" id="{DCA59B6D-CA6A-4445-82B1-A9CC3B36EB9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658113" y="928296"/>
              <a:ext cx="1828800" cy="14966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45720</xdr:colOff>
      <xdr:row>13</xdr:row>
      <xdr:rowOff>68581</xdr:rowOff>
    </xdr:from>
    <xdr:to>
      <xdr:col>16</xdr:col>
      <xdr:colOff>45720</xdr:colOff>
      <xdr:row>19</xdr:row>
      <xdr:rowOff>175261</xdr:rowOff>
    </xdr:to>
    <mc:AlternateContent xmlns:mc="http://schemas.openxmlformats.org/markup-compatibility/2006">
      <mc:Choice xmlns:a14="http://schemas.microsoft.com/office/drawing/2010/main" Requires="a14">
        <xdr:graphicFrame macro="">
          <xdr:nvGraphicFramePr>
            <xdr:cNvPr id="13" name="Category">
              <a:extLst>
                <a:ext uri="{FF2B5EF4-FFF2-40B4-BE49-F238E27FC236}">
                  <a16:creationId xmlns:a16="http://schemas.microsoft.com/office/drawing/2014/main" id="{FAE56793-1C00-4C4A-8696-2552C7BACBB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642873" y="2596628"/>
              <a:ext cx="1828800" cy="11824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21</xdr:row>
      <xdr:rowOff>0</xdr:rowOff>
    </xdr:from>
    <xdr:to>
      <xdr:col>16</xdr:col>
      <xdr:colOff>0</xdr:colOff>
      <xdr:row>27</xdr:row>
      <xdr:rowOff>152400</xdr:rowOff>
    </xdr:to>
    <mc:AlternateContent xmlns:mc="http://schemas.openxmlformats.org/markup-compatibility/2006">
      <mc:Choice xmlns:a14="http://schemas.microsoft.com/office/drawing/2010/main" Requires="a14">
        <xdr:graphicFrame macro="">
          <xdr:nvGraphicFramePr>
            <xdr:cNvPr id="14" name="Segment">
              <a:extLst>
                <a:ext uri="{FF2B5EF4-FFF2-40B4-BE49-F238E27FC236}">
                  <a16:creationId xmlns:a16="http://schemas.microsoft.com/office/drawing/2014/main" id="{C649BC8A-2FC0-4E09-BF4E-9BD8EB45CB0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8597153" y="3962400"/>
              <a:ext cx="1828800" cy="12281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29</xdr:row>
      <xdr:rowOff>0</xdr:rowOff>
    </xdr:from>
    <xdr:to>
      <xdr:col>16</xdr:col>
      <xdr:colOff>0</xdr:colOff>
      <xdr:row>37</xdr:row>
      <xdr:rowOff>30480</xdr:rowOff>
    </xdr:to>
    <mc:AlternateContent xmlns:mc="http://schemas.openxmlformats.org/markup-compatibility/2006">
      <mc:Choice xmlns:a14="http://schemas.microsoft.com/office/drawing/2010/main" Requires="a14">
        <xdr:graphicFrame macro="">
          <xdr:nvGraphicFramePr>
            <xdr:cNvPr id="15" name="Payment Method">
              <a:extLst>
                <a:ext uri="{FF2B5EF4-FFF2-40B4-BE49-F238E27FC236}">
                  <a16:creationId xmlns:a16="http://schemas.microsoft.com/office/drawing/2014/main" id="{810E2531-9560-49F2-A4B3-4A7722E6E4D9}"/>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8597153" y="5396753"/>
              <a:ext cx="1828800" cy="14648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38</xdr:row>
      <xdr:rowOff>0</xdr:rowOff>
    </xdr:from>
    <xdr:to>
      <xdr:col>16</xdr:col>
      <xdr:colOff>0</xdr:colOff>
      <xdr:row>52</xdr:row>
      <xdr:rowOff>20955</xdr:rowOff>
    </xdr:to>
    <mc:AlternateContent xmlns:mc="http://schemas.openxmlformats.org/markup-compatibility/2006">
      <mc:Choice xmlns:a14="http://schemas.microsoft.com/office/drawing/2010/main" Requires="a14">
        <xdr:graphicFrame macro="">
          <xdr:nvGraphicFramePr>
            <xdr:cNvPr id="16" name="Order Date">
              <a:extLst>
                <a:ext uri="{FF2B5EF4-FFF2-40B4-BE49-F238E27FC236}">
                  <a16:creationId xmlns:a16="http://schemas.microsoft.com/office/drawing/2014/main" id="{939B0ADA-A248-4D26-883E-ABFE4FAAA393}"/>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dr:sp macro="" textlink="">
          <xdr:nvSpPr>
            <xdr:cNvPr id="0" name=""/>
            <xdr:cNvSpPr>
              <a:spLocks noTextEdit="1"/>
            </xdr:cNvSpPr>
          </xdr:nvSpPr>
          <xdr:spPr>
            <a:xfrm>
              <a:off x="8597153" y="7010400"/>
              <a:ext cx="1828800" cy="25310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aw_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amp; Profit by Region."/>
      <sheetName val="Category Analysis"/>
      <sheetName val="Segment Analysis"/>
      <sheetName val="Product Performance"/>
      <sheetName val="Payment Method Analysis"/>
      <sheetName val="Daily Sales &amp; Profit"/>
      <sheetName val="KPI"/>
      <sheetName val="Raw Data"/>
      <sheetName val="Raw_Data"/>
    </sheetNames>
    <sheetDataSet>
      <sheetData sheetId="0"/>
      <sheetData sheetId="1"/>
      <sheetData sheetId="2"/>
      <sheetData sheetId="3"/>
      <sheetData sheetId="4"/>
      <sheetData sheetId="5"/>
      <sheetData sheetId="6"/>
      <sheetData sheetId="7">
        <row r="2">
          <cell r="A2">
            <v>2001</v>
          </cell>
          <cell r="H2">
            <v>2</v>
          </cell>
          <cell r="P2">
            <v>123500</v>
          </cell>
          <cell r="R2">
            <v>19000</v>
          </cell>
        </row>
        <row r="3">
          <cell r="A3">
            <v>2002</v>
          </cell>
          <cell r="H3">
            <v>4</v>
          </cell>
          <cell r="P3">
            <v>30600</v>
          </cell>
          <cell r="R3">
            <v>5500</v>
          </cell>
        </row>
        <row r="4">
          <cell r="A4">
            <v>2003</v>
          </cell>
          <cell r="H4">
            <v>10</v>
          </cell>
          <cell r="P4">
            <v>11400</v>
          </cell>
          <cell r="R4">
            <v>4750</v>
          </cell>
        </row>
        <row r="5">
          <cell r="A5">
            <v>2004</v>
          </cell>
          <cell r="H5">
            <v>3</v>
          </cell>
          <cell r="P5">
            <v>49680</v>
          </cell>
          <cell r="R5">
            <v>8730</v>
          </cell>
        </row>
        <row r="6">
          <cell r="A6">
            <v>2005</v>
          </cell>
          <cell r="H6">
            <v>2</v>
          </cell>
          <cell r="P6">
            <v>38720</v>
          </cell>
          <cell r="R6">
            <v>5020</v>
          </cell>
        </row>
        <row r="7">
          <cell r="A7">
            <v>2006</v>
          </cell>
          <cell r="H7">
            <v>8</v>
          </cell>
          <cell r="P7">
            <v>20000</v>
          </cell>
          <cell r="R7">
            <v>8600</v>
          </cell>
        </row>
        <row r="8">
          <cell r="A8">
            <v>2007</v>
          </cell>
          <cell r="H8">
            <v>1</v>
          </cell>
          <cell r="P8">
            <v>60450</v>
          </cell>
          <cell r="R8">
            <v>7950</v>
          </cell>
        </row>
        <row r="9">
          <cell r="A9">
            <v>2008</v>
          </cell>
          <cell r="H9">
            <v>5</v>
          </cell>
          <cell r="P9">
            <v>16625</v>
          </cell>
          <cell r="R9">
            <v>5875</v>
          </cell>
        </row>
        <row r="10">
          <cell r="A10">
            <v>2009</v>
          </cell>
          <cell r="H10">
            <v>6</v>
          </cell>
          <cell r="P10">
            <v>97200</v>
          </cell>
          <cell r="R10">
            <v>15600</v>
          </cell>
        </row>
        <row r="11">
          <cell r="A11">
            <v>2010</v>
          </cell>
          <cell r="H11">
            <v>2</v>
          </cell>
          <cell r="P11">
            <v>17000</v>
          </cell>
          <cell r="R11">
            <v>4350</v>
          </cell>
        </row>
        <row r="12">
          <cell r="A12">
            <v>2011</v>
          </cell>
          <cell r="H12">
            <v>15</v>
          </cell>
          <cell r="P12">
            <v>16560</v>
          </cell>
          <cell r="R12">
            <v>6610</v>
          </cell>
        </row>
        <row r="13">
          <cell r="A13">
            <v>2012</v>
          </cell>
          <cell r="H13">
            <v>3</v>
          </cell>
          <cell r="P13">
            <v>171600</v>
          </cell>
          <cell r="R13">
            <v>14850</v>
          </cell>
        </row>
        <row r="14">
          <cell r="A14">
            <v>2013</v>
          </cell>
          <cell r="H14">
            <v>1</v>
          </cell>
          <cell r="P14">
            <v>20900</v>
          </cell>
          <cell r="R14">
            <v>4050</v>
          </cell>
        </row>
        <row r="15">
          <cell r="A15">
            <v>2014</v>
          </cell>
          <cell r="H15">
            <v>12</v>
          </cell>
          <cell r="P15">
            <v>27000</v>
          </cell>
          <cell r="R15">
            <v>9900</v>
          </cell>
        </row>
        <row r="16">
          <cell r="A16">
            <v>2015</v>
          </cell>
          <cell r="H16">
            <v>4</v>
          </cell>
          <cell r="P16">
            <v>68400</v>
          </cell>
          <cell r="R16">
            <v>13900</v>
          </cell>
        </row>
        <row r="17">
          <cell r="A17">
            <v>2016</v>
          </cell>
          <cell r="H17">
            <v>7</v>
          </cell>
          <cell r="P17">
            <v>24500</v>
          </cell>
          <cell r="R17">
            <v>9550</v>
          </cell>
        </row>
        <row r="18">
          <cell r="A18">
            <v>2017</v>
          </cell>
          <cell r="H18">
            <v>2</v>
          </cell>
          <cell r="P18">
            <v>117000</v>
          </cell>
          <cell r="R18">
            <v>12400</v>
          </cell>
        </row>
        <row r="19">
          <cell r="A19">
            <v>2018</v>
          </cell>
          <cell r="H19">
            <v>5</v>
          </cell>
          <cell r="P19">
            <v>39525</v>
          </cell>
          <cell r="R19">
            <v>8125</v>
          </cell>
        </row>
        <row r="20">
          <cell r="A20">
            <v>2019</v>
          </cell>
          <cell r="H20">
            <v>20</v>
          </cell>
          <cell r="P20">
            <v>21120</v>
          </cell>
          <cell r="R20">
            <v>7870</v>
          </cell>
        </row>
        <row r="21">
          <cell r="A21">
            <v>2020</v>
          </cell>
          <cell r="H21">
            <v>2</v>
          </cell>
          <cell r="P21">
            <v>34200</v>
          </cell>
          <cell r="R21">
            <v>6900</v>
          </cell>
        </row>
        <row r="22">
          <cell r="A22">
            <v>2021</v>
          </cell>
          <cell r="H22">
            <v>10</v>
          </cell>
          <cell r="P22">
            <v>23000</v>
          </cell>
          <cell r="R22">
            <v>8750</v>
          </cell>
        </row>
        <row r="23">
          <cell r="A23">
            <v>2022</v>
          </cell>
          <cell r="H23">
            <v>4</v>
          </cell>
          <cell r="P23">
            <v>221000</v>
          </cell>
          <cell r="R23">
            <v>12100</v>
          </cell>
        </row>
        <row r="24">
          <cell r="A24">
            <v>2023</v>
          </cell>
          <cell r="H24">
            <v>3</v>
          </cell>
          <cell r="P24">
            <v>59400</v>
          </cell>
          <cell r="R24">
            <v>9100</v>
          </cell>
        </row>
        <row r="25">
          <cell r="A25">
            <v>2024</v>
          </cell>
          <cell r="H25">
            <v>9</v>
          </cell>
          <cell r="P25">
            <v>29925</v>
          </cell>
          <cell r="R25">
            <v>10725</v>
          </cell>
        </row>
        <row r="26">
          <cell r="A26">
            <v>2025</v>
          </cell>
          <cell r="H26">
            <v>5</v>
          </cell>
          <cell r="P26">
            <v>90000</v>
          </cell>
          <cell r="R26">
            <v>22000</v>
          </cell>
        </row>
        <row r="27">
          <cell r="A27">
            <v>2026</v>
          </cell>
          <cell r="H27">
            <v>6</v>
          </cell>
          <cell r="P27">
            <v>44880</v>
          </cell>
          <cell r="R27">
            <v>7230</v>
          </cell>
        </row>
        <row r="28">
          <cell r="A28">
            <v>2027</v>
          </cell>
          <cell r="H28">
            <v>25</v>
          </cell>
          <cell r="P28">
            <v>28500</v>
          </cell>
          <cell r="R28">
            <v>11950</v>
          </cell>
        </row>
        <row r="29">
          <cell r="A29">
            <v>2028</v>
          </cell>
          <cell r="H29">
            <v>1</v>
          </cell>
          <cell r="P29">
            <v>59800</v>
          </cell>
          <cell r="R29">
            <v>7300</v>
          </cell>
        </row>
        <row r="30">
          <cell r="A30">
            <v>2029</v>
          </cell>
          <cell r="H30">
            <v>4</v>
          </cell>
          <cell r="P30">
            <v>74800</v>
          </cell>
          <cell r="R30">
            <v>7800</v>
          </cell>
        </row>
        <row r="31">
          <cell r="A31">
            <v>2030</v>
          </cell>
          <cell r="H31">
            <v>6</v>
          </cell>
          <cell r="P31">
            <v>15000</v>
          </cell>
          <cell r="R31">
            <v>6400</v>
          </cell>
        </row>
      </sheetData>
      <sheetData sheetId="8"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ITH" refreshedDate="46292.745062615744" createdVersion="8" refreshedVersion="8" minRefreshableVersion="3" recordCount="30" xr:uid="{1BB6D30C-D8A8-44EA-80B2-670EA589689D}">
  <cacheSource type="worksheet">
    <worksheetSource name="Table1"/>
  </cacheSource>
  <cacheFields count="19">
    <cacheField name="Order ID" numFmtId="0">
      <sharedItems containsSemiMixedTypes="0" containsString="0" containsNumber="1" containsInteger="1" minValue="2001" maxValue="2030"/>
    </cacheField>
    <cacheField name="Order Date" numFmtId="14">
      <sharedItems containsSemiMixedTypes="0" containsNonDate="0" containsDate="1" containsString="0" minDate="2026-09-01T00:00:00" maxDate="2026-10-01T00:00:00" count="3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sharedItems>
    </cacheField>
    <cacheField name="Customer" numFmtId="0">
      <sharedItems/>
    </cacheField>
    <cacheField name="Segment" numFmtId="0">
      <sharedItems count="3">
        <s v="Consumer"/>
        <s v="Corporate"/>
        <s v="Small Business"/>
      </sharedItems>
    </cacheField>
    <cacheField name="Region" numFmtId="0">
      <sharedItems count="4">
        <s v="West"/>
        <s v="South"/>
        <s v="North"/>
        <s v="East"/>
      </sharedItems>
    </cacheField>
    <cacheField name="Category" numFmtId="0">
      <sharedItems count="3">
        <s v="Electronics"/>
        <s v="Furniture"/>
        <s v="Accessories"/>
      </sharedItems>
    </cacheField>
    <cacheField name="Product" numFmtId="0">
      <sharedItems count="7">
        <s v="Laptop"/>
        <s v="Office Chair"/>
        <s v="Wireless Mouse"/>
        <s v="Monitor"/>
        <s v="Office Desk"/>
        <s v="Keyboard"/>
        <s v="Headphones"/>
      </sharedItems>
    </cacheField>
    <cacheField name="Quantity" numFmtId="0">
      <sharedItems containsSemiMixedTypes="0" containsString="0" containsNumber="1" containsInteger="1" minValue="1" maxValue="25" count="14">
        <n v="2"/>
        <n v="4"/>
        <n v="10"/>
        <n v="3"/>
        <n v="8"/>
        <n v="1"/>
        <n v="5"/>
        <n v="6"/>
        <n v="15"/>
        <n v="12"/>
        <n v="7"/>
        <n v="20"/>
        <n v="9"/>
        <n v="25"/>
      </sharedItems>
    </cacheField>
    <cacheField name="Unit Price" numFmtId="165">
      <sharedItems containsSemiMixedTypes="0" containsString="0" containsNumber="1" containsInteger="1" minValue="1200" maxValue="65000"/>
    </cacheField>
    <cacheField name="Unit Cost" numFmtId="165">
      <sharedItems containsSemiMixedTypes="0" containsString="0" containsNumber="1" containsInteger="1" minValue="650" maxValue="52000"/>
    </cacheField>
    <cacheField name="Discount" numFmtId="9">
      <sharedItems containsSemiMixedTypes="0" containsString="0" containsNumber="1" minValue="0" maxValue="0.15"/>
    </cacheField>
    <cacheField name="Shipping Cost" numFmtId="165">
      <sharedItems containsSemiMixedTypes="0" containsString="0" containsNumber="1" containsInteger="1" minValue="150" maxValue="1000"/>
    </cacheField>
    <cacheField name="Payment Method" numFmtId="0">
      <sharedItems count="4">
        <s v="UPI"/>
        <s v="Credit Card"/>
        <s v="Debit Card"/>
        <s v="Bank Transfer"/>
      </sharedItems>
    </cacheField>
    <cacheField name="Gross sale" numFmtId="165">
      <sharedItems containsSemiMixedTypes="0" containsString="0" containsNumber="1" containsInteger="1" minValue="12000" maxValue="260000"/>
    </cacheField>
    <cacheField name="Discount Amount" numFmtId="165">
      <sharedItems containsSemiMixedTypes="0" containsString="0" containsNumber="1" minValue="0" maxValue="39000"/>
    </cacheField>
    <cacheField name="Net Sale" numFmtId="165">
      <sharedItems containsSemiMixedTypes="0" containsString="0" containsNumber="1" containsInteger="1" minValue="11400" maxValue="221000"/>
    </cacheField>
    <cacheField name="Total Cost" numFmtId="165">
      <sharedItems containsSemiMixedTypes="0" containsString="0" containsNumber="1" containsInteger="1" minValue="6500" maxValue="208000"/>
    </cacheField>
    <cacheField name="Profit" numFmtId="165">
      <sharedItems containsSemiMixedTypes="0" containsString="0" containsNumber="1" containsInteger="1" minValue="4050" maxValue="22000"/>
    </cacheField>
    <cacheField name="Profit Margin" numFmtId="10">
      <sharedItems containsSemiMixedTypes="0" containsString="0" containsNumber="1" minValue="5.4751131221719457E-2" maxValue="0.43"/>
    </cacheField>
  </cacheFields>
  <extLst>
    <ext xmlns:x14="http://schemas.microsoft.com/office/spreadsheetml/2009/9/main" uri="{725AE2AE-9491-48be-B2B4-4EB974FC3084}">
      <x14:pivotCacheDefinition pivotCacheId="834651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2001"/>
    <x v="0"/>
    <s v="Aarav Sharma"/>
    <x v="0"/>
    <x v="0"/>
    <x v="0"/>
    <x v="0"/>
    <x v="0"/>
    <n v="65000"/>
    <n v="52000"/>
    <n v="0.05"/>
    <n v="500"/>
    <x v="0"/>
    <n v="130000"/>
    <n v="6500"/>
    <n v="123500"/>
    <n v="104000"/>
    <n v="19000"/>
    <n v="0.15384615384615385"/>
  </r>
  <r>
    <n v="2002"/>
    <x v="1"/>
    <s v="Priya Mehta"/>
    <x v="1"/>
    <x v="1"/>
    <x v="1"/>
    <x v="1"/>
    <x v="1"/>
    <n v="8500"/>
    <n v="6200"/>
    <n v="0.1"/>
    <n v="300"/>
    <x v="1"/>
    <n v="34000"/>
    <n v="3400"/>
    <n v="30600"/>
    <n v="24800"/>
    <n v="5500"/>
    <n v="0.17973856209150327"/>
  </r>
  <r>
    <n v="2003"/>
    <x v="2"/>
    <s v="Rohan Patil"/>
    <x v="0"/>
    <x v="2"/>
    <x v="2"/>
    <x v="2"/>
    <x v="2"/>
    <n v="1200"/>
    <n v="650"/>
    <n v="0.05"/>
    <n v="150"/>
    <x v="0"/>
    <n v="12000"/>
    <n v="600"/>
    <n v="11400"/>
    <n v="6500"/>
    <n v="4750"/>
    <n v="0.41666666666666669"/>
  </r>
  <r>
    <n v="2004"/>
    <x v="3"/>
    <s v="Sneha Rao"/>
    <x v="2"/>
    <x v="3"/>
    <x v="0"/>
    <x v="3"/>
    <x v="3"/>
    <n v="18000"/>
    <n v="13500"/>
    <n v="0.08"/>
    <n v="450"/>
    <x v="2"/>
    <n v="54000"/>
    <n v="4320"/>
    <n v="49680"/>
    <n v="40500"/>
    <n v="8730"/>
    <n v="0.17572463768115942"/>
  </r>
  <r>
    <n v="2005"/>
    <x v="4"/>
    <s v="Vikram Shah"/>
    <x v="1"/>
    <x v="0"/>
    <x v="1"/>
    <x v="4"/>
    <x v="0"/>
    <n v="22000"/>
    <n v="16500"/>
    <n v="0.12"/>
    <n v="700"/>
    <x v="3"/>
    <n v="44000"/>
    <n v="5280"/>
    <n v="38720"/>
    <n v="33000"/>
    <n v="5020"/>
    <n v="0.12964876033057851"/>
  </r>
  <r>
    <n v="2006"/>
    <x v="5"/>
    <s v="Ananya Nair"/>
    <x v="0"/>
    <x v="1"/>
    <x v="2"/>
    <x v="5"/>
    <x v="4"/>
    <n v="2500"/>
    <n v="1400"/>
    <n v="0"/>
    <n v="200"/>
    <x v="0"/>
    <n v="20000"/>
    <n v="0"/>
    <n v="20000"/>
    <n v="11200"/>
    <n v="8600"/>
    <n v="0.43"/>
  </r>
  <r>
    <n v="2007"/>
    <x v="6"/>
    <s v="Karan Joshi"/>
    <x v="2"/>
    <x v="2"/>
    <x v="0"/>
    <x v="0"/>
    <x v="5"/>
    <n v="65000"/>
    <n v="52000"/>
    <n v="7.0000000000000007E-2"/>
    <n v="500"/>
    <x v="1"/>
    <n v="65000"/>
    <n v="4550"/>
    <n v="60450"/>
    <n v="52000"/>
    <n v="7950"/>
    <n v="0.13151364764267989"/>
  </r>
  <r>
    <n v="2008"/>
    <x v="7"/>
    <s v="Meera Iyer"/>
    <x v="0"/>
    <x v="3"/>
    <x v="2"/>
    <x v="6"/>
    <x v="6"/>
    <n v="3500"/>
    <n v="2100"/>
    <n v="0.05"/>
    <n v="250"/>
    <x v="0"/>
    <n v="17500"/>
    <n v="875"/>
    <n v="16625"/>
    <n v="10500"/>
    <n v="5875"/>
    <n v="0.35338345864661652"/>
  </r>
  <r>
    <n v="2009"/>
    <x v="8"/>
    <s v="Aditya Kulkarni"/>
    <x v="1"/>
    <x v="0"/>
    <x v="0"/>
    <x v="3"/>
    <x v="7"/>
    <n v="18000"/>
    <n v="13500"/>
    <n v="0.1"/>
    <n v="600"/>
    <x v="3"/>
    <n v="108000"/>
    <n v="10800"/>
    <n v="97200"/>
    <n v="81000"/>
    <n v="15600"/>
    <n v="0.16049382716049382"/>
  </r>
  <r>
    <n v="2010"/>
    <x v="9"/>
    <s v="Neha Desai"/>
    <x v="0"/>
    <x v="1"/>
    <x v="1"/>
    <x v="1"/>
    <x v="0"/>
    <n v="8500"/>
    <n v="6200"/>
    <n v="0"/>
    <n v="250"/>
    <x v="2"/>
    <n v="17000"/>
    <n v="0"/>
    <n v="17000"/>
    <n v="12400"/>
    <n v="4350"/>
    <n v="0.25588235294117645"/>
  </r>
  <r>
    <n v="2011"/>
    <x v="10"/>
    <s v="Rahul Verma"/>
    <x v="2"/>
    <x v="3"/>
    <x v="2"/>
    <x v="2"/>
    <x v="8"/>
    <n v="1200"/>
    <n v="650"/>
    <n v="0.08"/>
    <n v="200"/>
    <x v="0"/>
    <n v="18000"/>
    <n v="1440"/>
    <n v="16560"/>
    <n v="9750"/>
    <n v="6610"/>
    <n v="0.39915458937198067"/>
  </r>
  <r>
    <n v="2012"/>
    <x v="11"/>
    <s v="Isha Kapoor"/>
    <x v="1"/>
    <x v="2"/>
    <x v="0"/>
    <x v="0"/>
    <x v="3"/>
    <n v="65000"/>
    <n v="52000"/>
    <n v="0.12"/>
    <n v="750"/>
    <x v="1"/>
    <n v="195000"/>
    <n v="23400"/>
    <n v="171600"/>
    <n v="156000"/>
    <n v="14850"/>
    <n v="8.6538461538461536E-2"/>
  </r>
  <r>
    <n v="2013"/>
    <x v="12"/>
    <s v="Arjun Menon"/>
    <x v="0"/>
    <x v="0"/>
    <x v="1"/>
    <x v="4"/>
    <x v="5"/>
    <n v="22000"/>
    <n v="16500"/>
    <n v="0.05"/>
    <n v="350"/>
    <x v="0"/>
    <n v="22000"/>
    <n v="1100"/>
    <n v="20900"/>
    <n v="16500"/>
    <n v="4050"/>
    <n v="0.19377990430622011"/>
  </r>
  <r>
    <n v="2014"/>
    <x v="13"/>
    <s v="Kavya Reddy"/>
    <x v="2"/>
    <x v="1"/>
    <x v="2"/>
    <x v="5"/>
    <x v="9"/>
    <n v="2500"/>
    <n v="1400"/>
    <n v="0.1"/>
    <n v="300"/>
    <x v="2"/>
    <n v="30000"/>
    <n v="3000"/>
    <n v="27000"/>
    <n v="16800"/>
    <n v="9900"/>
    <n v="0.36666666666666664"/>
  </r>
  <r>
    <n v="2015"/>
    <x v="14"/>
    <s v="Dev Malhotra"/>
    <x v="1"/>
    <x v="3"/>
    <x v="0"/>
    <x v="3"/>
    <x v="1"/>
    <n v="18000"/>
    <n v="13500"/>
    <n v="0.05"/>
    <n v="500"/>
    <x v="3"/>
    <n v="72000"/>
    <n v="3600"/>
    <n v="68400"/>
    <n v="54000"/>
    <n v="13900"/>
    <n v="0.20321637426900585"/>
  </r>
  <r>
    <n v="2016"/>
    <x v="15"/>
    <s v="Tara Sinha"/>
    <x v="0"/>
    <x v="2"/>
    <x v="2"/>
    <x v="6"/>
    <x v="10"/>
    <n v="3500"/>
    <n v="2100"/>
    <n v="0"/>
    <n v="250"/>
    <x v="0"/>
    <n v="24500"/>
    <n v="0"/>
    <n v="24500"/>
    <n v="14700"/>
    <n v="9550"/>
    <n v="0.38979591836734695"/>
  </r>
  <r>
    <n v="2017"/>
    <x v="16"/>
    <s v="Manav Gupta"/>
    <x v="2"/>
    <x v="0"/>
    <x v="0"/>
    <x v="0"/>
    <x v="0"/>
    <n v="65000"/>
    <n v="52000"/>
    <n v="0.1"/>
    <n v="600"/>
    <x v="1"/>
    <n v="130000"/>
    <n v="13000"/>
    <n v="117000"/>
    <n v="104000"/>
    <n v="12400"/>
    <n v="0.10598290598290598"/>
  </r>
  <r>
    <n v="2018"/>
    <x v="17"/>
    <s v="Diya Fernandes"/>
    <x v="0"/>
    <x v="1"/>
    <x v="1"/>
    <x v="1"/>
    <x v="6"/>
    <n v="8500"/>
    <n v="6200"/>
    <n v="7.0000000000000007E-2"/>
    <n v="400"/>
    <x v="0"/>
    <n v="42500"/>
    <n v="2975.0000000000005"/>
    <n v="39525"/>
    <n v="31000"/>
    <n v="8125"/>
    <n v="0.20556609740670462"/>
  </r>
  <r>
    <n v="2019"/>
    <x v="18"/>
    <s v="Siddharth Rao"/>
    <x v="1"/>
    <x v="3"/>
    <x v="2"/>
    <x v="2"/>
    <x v="11"/>
    <n v="1200"/>
    <n v="650"/>
    <n v="0.12"/>
    <n v="250"/>
    <x v="3"/>
    <n v="24000"/>
    <n v="2880"/>
    <n v="21120"/>
    <n v="13000"/>
    <n v="7870"/>
    <n v="0.37263257575757575"/>
  </r>
  <r>
    <n v="2020"/>
    <x v="19"/>
    <s v="Pooja Shetty"/>
    <x v="0"/>
    <x v="2"/>
    <x v="0"/>
    <x v="3"/>
    <x v="0"/>
    <n v="18000"/>
    <n v="13500"/>
    <n v="0.05"/>
    <n v="300"/>
    <x v="2"/>
    <n v="36000"/>
    <n v="1800"/>
    <n v="34200"/>
    <n v="27000"/>
    <n v="6900"/>
    <n v="0.20175438596491227"/>
  </r>
  <r>
    <n v="2021"/>
    <x v="20"/>
    <s v="Akash Bhat"/>
    <x v="2"/>
    <x v="0"/>
    <x v="2"/>
    <x v="5"/>
    <x v="2"/>
    <n v="2500"/>
    <n v="1400"/>
    <n v="0.08"/>
    <n v="250"/>
    <x v="0"/>
    <n v="25000"/>
    <n v="2000"/>
    <n v="23000"/>
    <n v="14000"/>
    <n v="8750"/>
    <n v="0.38043478260869568"/>
  </r>
  <r>
    <n v="2022"/>
    <x v="21"/>
    <s v="Riya Shah"/>
    <x v="1"/>
    <x v="1"/>
    <x v="0"/>
    <x v="0"/>
    <x v="1"/>
    <n v="65000"/>
    <n v="52000"/>
    <n v="0.15"/>
    <n v="900"/>
    <x v="1"/>
    <n v="260000"/>
    <n v="39000"/>
    <n v="221000"/>
    <n v="208000"/>
    <n v="12100"/>
    <n v="5.4751131221719457E-2"/>
  </r>
  <r>
    <n v="2023"/>
    <x v="22"/>
    <s v="Omkar Naik"/>
    <x v="0"/>
    <x v="3"/>
    <x v="1"/>
    <x v="4"/>
    <x v="3"/>
    <n v="22000"/>
    <n v="16500"/>
    <n v="0.1"/>
    <n v="800"/>
    <x v="3"/>
    <n v="66000"/>
    <n v="6600"/>
    <n v="59400"/>
    <n v="49500"/>
    <n v="9100"/>
    <n v="0.1531986531986532"/>
  </r>
  <r>
    <n v="2024"/>
    <x v="23"/>
    <s v="Simran Kaur"/>
    <x v="2"/>
    <x v="2"/>
    <x v="2"/>
    <x v="6"/>
    <x v="12"/>
    <n v="3500"/>
    <n v="2100"/>
    <n v="0.05"/>
    <n v="300"/>
    <x v="0"/>
    <n v="31500"/>
    <n v="1575"/>
    <n v="29925"/>
    <n v="18900"/>
    <n v="10725"/>
    <n v="0.35839598997493732"/>
  </r>
  <r>
    <n v="2025"/>
    <x v="24"/>
    <s v="Yash Deshmukh"/>
    <x v="0"/>
    <x v="0"/>
    <x v="0"/>
    <x v="3"/>
    <x v="6"/>
    <n v="18000"/>
    <n v="13500"/>
    <n v="0"/>
    <n v="500"/>
    <x v="2"/>
    <n v="90000"/>
    <n v="0"/>
    <n v="90000"/>
    <n v="67500"/>
    <n v="22000"/>
    <n v="0.24444444444444444"/>
  </r>
  <r>
    <n v="2026"/>
    <x v="25"/>
    <s v="Nisha Pillai"/>
    <x v="1"/>
    <x v="3"/>
    <x v="1"/>
    <x v="1"/>
    <x v="7"/>
    <n v="8500"/>
    <n v="6200"/>
    <n v="0.12"/>
    <n v="450"/>
    <x v="1"/>
    <n v="51000"/>
    <n v="6120"/>
    <n v="44880"/>
    <n v="37200"/>
    <n v="7230"/>
    <n v="0.16109625668449198"/>
  </r>
  <r>
    <n v="2027"/>
    <x v="26"/>
    <s v="Varun Sethi"/>
    <x v="2"/>
    <x v="1"/>
    <x v="2"/>
    <x v="2"/>
    <x v="13"/>
    <n v="1200"/>
    <n v="650"/>
    <n v="0.05"/>
    <n v="300"/>
    <x v="0"/>
    <n v="30000"/>
    <n v="1500"/>
    <n v="28500"/>
    <n v="16250"/>
    <n v="11950"/>
    <n v="0.41929824561403511"/>
  </r>
  <r>
    <n v="2028"/>
    <x v="27"/>
    <s v="Maya Krishnan"/>
    <x v="0"/>
    <x v="2"/>
    <x v="0"/>
    <x v="0"/>
    <x v="5"/>
    <n v="65000"/>
    <n v="52000"/>
    <n v="0.08"/>
    <n v="500"/>
    <x v="3"/>
    <n v="65000"/>
    <n v="5200"/>
    <n v="59800"/>
    <n v="52000"/>
    <n v="7300"/>
    <n v="0.12207357859531773"/>
  </r>
  <r>
    <n v="2029"/>
    <x v="28"/>
    <s v="Harsh Jain"/>
    <x v="1"/>
    <x v="0"/>
    <x v="1"/>
    <x v="4"/>
    <x v="1"/>
    <n v="22000"/>
    <n v="16500"/>
    <n v="0.15"/>
    <n v="1000"/>
    <x v="1"/>
    <n v="88000"/>
    <n v="13200"/>
    <n v="74800"/>
    <n v="66000"/>
    <n v="7800"/>
    <n v="0.10427807486631016"/>
  </r>
  <r>
    <n v="2030"/>
    <x v="29"/>
    <s v="Reema D'Souza"/>
    <x v="0"/>
    <x v="3"/>
    <x v="2"/>
    <x v="5"/>
    <x v="7"/>
    <n v="2500"/>
    <n v="1400"/>
    <n v="0"/>
    <n v="200"/>
    <x v="0"/>
    <n v="15000"/>
    <n v="0"/>
    <n v="15000"/>
    <n v="8400"/>
    <n v="6400"/>
    <n v="0.4266666666666666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6DF5A4-20A3-4506-B8C0-A1ADBDF88916}"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8" firstHeaderRow="0" firstDataRow="1" firstDataCol="1"/>
  <pivotFields count="19">
    <pivotField showAll="0"/>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items count="4">
        <item x="0"/>
        <item x="1"/>
        <item x="2"/>
        <item t="default"/>
      </items>
    </pivotField>
    <pivotField axis="axisRow" showAll="0">
      <items count="5">
        <item x="3"/>
        <item x="2"/>
        <item x="1"/>
        <item x="0"/>
        <item t="default"/>
      </items>
    </pivotField>
    <pivotField showAll="0">
      <items count="4">
        <item x="2"/>
        <item x="0"/>
        <item x="1"/>
        <item t="default"/>
      </items>
    </pivotField>
    <pivotField showAll="0"/>
    <pivotField showAll="0"/>
    <pivotField numFmtId="165" showAll="0"/>
    <pivotField numFmtId="165" showAll="0"/>
    <pivotField numFmtId="9" showAll="0"/>
    <pivotField numFmtId="165" showAll="0"/>
    <pivotField showAll="0">
      <items count="5">
        <item x="3"/>
        <item x="1"/>
        <item x="2"/>
        <item x="0"/>
        <item t="default"/>
      </items>
    </pivotField>
    <pivotField numFmtId="165" showAll="0"/>
    <pivotField numFmtId="165" showAll="0"/>
    <pivotField dataField="1" numFmtId="165" showAll="0"/>
    <pivotField numFmtId="165" showAll="0"/>
    <pivotField dataField="1" numFmtId="165" showAll="0"/>
    <pivotField numFmtId="10" showAll="0"/>
  </pivotFields>
  <rowFields count="1">
    <field x="4"/>
  </rowFields>
  <rowItems count="5">
    <i>
      <x/>
    </i>
    <i>
      <x v="1"/>
    </i>
    <i>
      <x v="2"/>
    </i>
    <i>
      <x v="3"/>
    </i>
    <i t="grand">
      <x/>
    </i>
  </rowItems>
  <colFields count="1">
    <field x="-2"/>
  </colFields>
  <colItems count="2">
    <i>
      <x/>
    </i>
    <i i="1">
      <x v="1"/>
    </i>
  </colItems>
  <dataFields count="2">
    <dataField name="Sum of Net Sale" fld="15" baseField="0" baseItem="0" numFmtId="165"/>
    <dataField name="Sum of Profit" fld="17" baseField="0" baseItem="0" numFmtId="165"/>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463064-C997-4FEF-AB4F-3D5C62490F1A}"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0" firstDataRow="1" firstDataCol="1"/>
  <pivotFields count="19">
    <pivotField showAll="0"/>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items count="4">
        <item x="0"/>
        <item x="1"/>
        <item x="2"/>
        <item t="default"/>
      </items>
    </pivotField>
    <pivotField showAll="0">
      <items count="5">
        <item x="3"/>
        <item x="2"/>
        <item x="1"/>
        <item x="0"/>
        <item t="default"/>
      </items>
    </pivotField>
    <pivotField axis="axisRow" showAll="0">
      <items count="4">
        <item x="2"/>
        <item x="0"/>
        <item x="1"/>
        <item t="default"/>
      </items>
    </pivotField>
    <pivotField showAll="0"/>
    <pivotField dataField="1" showAll="0"/>
    <pivotField numFmtId="165" showAll="0"/>
    <pivotField numFmtId="165" showAll="0"/>
    <pivotField numFmtId="9" showAll="0"/>
    <pivotField numFmtId="165" showAll="0"/>
    <pivotField showAll="0">
      <items count="5">
        <item x="3"/>
        <item x="1"/>
        <item x="2"/>
        <item x="0"/>
        <item t="default"/>
      </items>
    </pivotField>
    <pivotField numFmtId="165" showAll="0"/>
    <pivotField numFmtId="165" showAll="0"/>
    <pivotField dataField="1" numFmtId="165" showAll="0"/>
    <pivotField numFmtId="165" showAll="0"/>
    <pivotField dataField="1" numFmtId="165" showAll="0"/>
    <pivotField numFmtId="10" showAll="0"/>
  </pivotFields>
  <rowFields count="1">
    <field x="5"/>
  </rowFields>
  <rowItems count="4">
    <i>
      <x/>
    </i>
    <i>
      <x v="1"/>
    </i>
    <i>
      <x v="2"/>
    </i>
    <i t="grand">
      <x/>
    </i>
  </rowItems>
  <colFields count="1">
    <field x="-2"/>
  </colFields>
  <colItems count="3">
    <i>
      <x/>
    </i>
    <i i="1">
      <x v="1"/>
    </i>
    <i i="2">
      <x v="2"/>
    </i>
  </colItems>
  <dataFields count="3">
    <dataField name="Sum of Net Sale" fld="15" baseField="0" baseItem="0" numFmtId="165"/>
    <dataField name="Sum of Profit" fld="17" baseField="0" baseItem="0" numFmtId="165"/>
    <dataField name="Sum of Quantity" fld="7" baseField="0" baseItem="0"/>
  </dataField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C0DCD5-FB08-4C91-8890-2975E1E8EDAC}"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0" firstDataRow="1" firstDataCol="1"/>
  <pivotFields count="19">
    <pivotField dataField="1" showAll="0"/>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axis="axisRow" showAll="0">
      <items count="4">
        <item x="0"/>
        <item x="1"/>
        <item x="2"/>
        <item t="default"/>
      </items>
    </pivotField>
    <pivotField showAll="0">
      <items count="5">
        <item x="3"/>
        <item x="2"/>
        <item x="1"/>
        <item x="0"/>
        <item t="default"/>
      </items>
    </pivotField>
    <pivotField showAll="0">
      <items count="4">
        <item x="2"/>
        <item x="0"/>
        <item x="1"/>
        <item t="default"/>
      </items>
    </pivotField>
    <pivotField showAll="0"/>
    <pivotField showAll="0"/>
    <pivotField numFmtId="165" showAll="0"/>
    <pivotField numFmtId="165" showAll="0"/>
    <pivotField numFmtId="9" showAll="0"/>
    <pivotField numFmtId="165" showAll="0"/>
    <pivotField showAll="0">
      <items count="5">
        <item x="3"/>
        <item x="1"/>
        <item x="2"/>
        <item x="0"/>
        <item t="default"/>
      </items>
    </pivotField>
    <pivotField numFmtId="165" showAll="0"/>
    <pivotField numFmtId="165" showAll="0"/>
    <pivotField dataField="1" numFmtId="165" showAll="0"/>
    <pivotField numFmtId="165" showAll="0"/>
    <pivotField dataField="1" numFmtId="165" showAll="0"/>
    <pivotField numFmtId="10" showAll="0"/>
  </pivotFields>
  <rowFields count="1">
    <field x="3"/>
  </rowFields>
  <rowItems count="4">
    <i>
      <x/>
    </i>
    <i>
      <x v="1"/>
    </i>
    <i>
      <x v="2"/>
    </i>
    <i t="grand">
      <x/>
    </i>
  </rowItems>
  <colFields count="1">
    <field x="-2"/>
  </colFields>
  <colItems count="3">
    <i>
      <x/>
    </i>
    <i i="1">
      <x v="1"/>
    </i>
    <i i="2">
      <x v="2"/>
    </i>
  </colItems>
  <dataFields count="3">
    <dataField name="Sum of Net Sale" fld="15" baseField="0" baseItem="0" numFmtId="165"/>
    <dataField name="Sum of Profit" fld="17" baseField="0" baseItem="0" numFmtId="165"/>
    <dataField name="Sum of Order ID" fld="0" baseField="0" baseItem="0"/>
  </dataField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D559C5-AE93-4083-A67E-9077DC4DCB9B}"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E11" firstHeaderRow="0" firstDataRow="1" firstDataCol="1"/>
  <pivotFields count="19">
    <pivotField showAll="0"/>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items count="4">
        <item x="0"/>
        <item x="1"/>
        <item x="2"/>
        <item t="default"/>
      </items>
    </pivotField>
    <pivotField showAll="0">
      <items count="5">
        <item x="3"/>
        <item x="2"/>
        <item x="1"/>
        <item x="0"/>
        <item t="default"/>
      </items>
    </pivotField>
    <pivotField showAll="0">
      <items count="4">
        <item x="2"/>
        <item x="0"/>
        <item x="1"/>
        <item t="default"/>
      </items>
    </pivotField>
    <pivotField axis="axisRow" showAll="0">
      <items count="8">
        <item x="6"/>
        <item x="5"/>
        <item x="0"/>
        <item x="3"/>
        <item x="1"/>
        <item x="4"/>
        <item x="2"/>
        <item t="default"/>
      </items>
    </pivotField>
    <pivotField dataField="1" showAll="0">
      <items count="15">
        <item x="5"/>
        <item x="0"/>
        <item x="3"/>
        <item x="1"/>
        <item x="6"/>
        <item x="7"/>
        <item x="10"/>
        <item x="4"/>
        <item x="12"/>
        <item x="2"/>
        <item x="9"/>
        <item x="8"/>
        <item x="11"/>
        <item x="13"/>
        <item t="default"/>
      </items>
    </pivotField>
    <pivotField numFmtId="165" showAll="0"/>
    <pivotField numFmtId="165" showAll="0"/>
    <pivotField numFmtId="9" showAll="0"/>
    <pivotField numFmtId="165" showAll="0"/>
    <pivotField showAll="0">
      <items count="5">
        <item x="3"/>
        <item x="1"/>
        <item x="2"/>
        <item x="0"/>
        <item t="default"/>
      </items>
    </pivotField>
    <pivotField numFmtId="165" showAll="0"/>
    <pivotField numFmtId="165" showAll="0"/>
    <pivotField dataField="1" numFmtId="165" showAll="0"/>
    <pivotField numFmtId="165" showAll="0"/>
    <pivotField dataField="1" numFmtId="165" showAll="0"/>
    <pivotField dataField="1" numFmtId="10" showAll="0"/>
  </pivotFields>
  <rowFields count="1">
    <field x="6"/>
  </rowFields>
  <rowItems count="8">
    <i>
      <x/>
    </i>
    <i>
      <x v="1"/>
    </i>
    <i>
      <x v="2"/>
    </i>
    <i>
      <x v="3"/>
    </i>
    <i>
      <x v="4"/>
    </i>
    <i>
      <x v="5"/>
    </i>
    <i>
      <x v="6"/>
    </i>
    <i t="grand">
      <x/>
    </i>
  </rowItems>
  <colFields count="1">
    <field x="-2"/>
  </colFields>
  <colItems count="4">
    <i>
      <x/>
    </i>
    <i i="1">
      <x v="1"/>
    </i>
    <i i="2">
      <x v="2"/>
    </i>
    <i i="3">
      <x v="3"/>
    </i>
  </colItems>
  <dataFields count="4">
    <dataField name="Sum of Net Sale" fld="15" baseField="0" baseItem="0" numFmtId="165"/>
    <dataField name="Sum of Profit" fld="17" baseField="0" baseItem="0" numFmtId="165"/>
    <dataField name="Sum of Quantity" fld="7" baseField="0" baseItem="0"/>
    <dataField name="Sum of Profit Margin" fld="18" baseField="0" baseItem="0" numFmtId="10"/>
  </dataFields>
  <chartFormats count="4">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2"/>
          </reference>
        </references>
      </pivotArea>
    </chartFormat>
    <chartFormat chart="3"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B697E1-3E58-4D94-BE11-48EA2782C839}" name="PivotTable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8" firstHeaderRow="0" firstDataRow="1" firstDataCol="1"/>
  <pivotFields count="19">
    <pivotField dataField="1" showAll="0"/>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items count="4">
        <item x="0"/>
        <item x="1"/>
        <item x="2"/>
        <item t="default"/>
      </items>
    </pivotField>
    <pivotField showAll="0">
      <items count="5">
        <item x="3"/>
        <item x="2"/>
        <item x="1"/>
        <item x="0"/>
        <item t="default"/>
      </items>
    </pivotField>
    <pivotField showAll="0">
      <items count="4">
        <item x="2"/>
        <item x="0"/>
        <item x="1"/>
        <item t="default"/>
      </items>
    </pivotField>
    <pivotField showAll="0"/>
    <pivotField showAll="0"/>
    <pivotField numFmtId="165" showAll="0"/>
    <pivotField numFmtId="165" showAll="0"/>
    <pivotField numFmtId="9" showAll="0"/>
    <pivotField numFmtId="165" showAll="0"/>
    <pivotField axis="axisRow" showAll="0">
      <items count="5">
        <item x="3"/>
        <item x="1"/>
        <item x="2"/>
        <item x="0"/>
        <item t="default"/>
      </items>
    </pivotField>
    <pivotField numFmtId="165" showAll="0"/>
    <pivotField numFmtId="165" showAll="0"/>
    <pivotField dataField="1" numFmtId="165" showAll="0"/>
    <pivotField numFmtId="165" showAll="0"/>
    <pivotField dataField="1" numFmtId="165" showAll="0"/>
    <pivotField numFmtId="10" showAll="0"/>
  </pivotFields>
  <rowFields count="1">
    <field x="12"/>
  </rowFields>
  <rowItems count="5">
    <i>
      <x/>
    </i>
    <i>
      <x v="1"/>
    </i>
    <i>
      <x v="2"/>
    </i>
    <i>
      <x v="3"/>
    </i>
    <i t="grand">
      <x/>
    </i>
  </rowItems>
  <colFields count="1">
    <field x="-2"/>
  </colFields>
  <colItems count="3">
    <i>
      <x/>
    </i>
    <i i="1">
      <x v="1"/>
    </i>
    <i i="2">
      <x v="2"/>
    </i>
  </colItems>
  <dataFields count="3">
    <dataField name="Sum of Net Sale" fld="15" baseField="0" baseItem="0" numFmtId="165"/>
    <dataField name="Sum of Profit" fld="17" baseField="0" baseItem="0" numFmtId="165"/>
    <dataField name="Sum of Order 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8EECFD-9C74-405C-AC0B-1D34EA4CFD81}" name="PivotTable7"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34" firstHeaderRow="0" firstDataRow="1" firstDataCol="1"/>
  <pivotFields count="19">
    <pivotField showAll="0"/>
    <pivotField axis="axisRow"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items count="4">
        <item x="0"/>
        <item x="1"/>
        <item x="2"/>
        <item t="default"/>
      </items>
    </pivotField>
    <pivotField showAll="0">
      <items count="5">
        <item x="3"/>
        <item x="2"/>
        <item x="1"/>
        <item x="0"/>
        <item t="default"/>
      </items>
    </pivotField>
    <pivotField showAll="0">
      <items count="4">
        <item x="2"/>
        <item x="0"/>
        <item x="1"/>
        <item t="default"/>
      </items>
    </pivotField>
    <pivotField showAll="0"/>
    <pivotField dataField="1" showAll="0"/>
    <pivotField numFmtId="165" showAll="0"/>
    <pivotField numFmtId="165" showAll="0"/>
    <pivotField numFmtId="9" showAll="0"/>
    <pivotField numFmtId="165" showAll="0"/>
    <pivotField showAll="0">
      <items count="5">
        <item x="3"/>
        <item x="1"/>
        <item x="2"/>
        <item x="0"/>
        <item t="default"/>
      </items>
    </pivotField>
    <pivotField numFmtId="165" showAll="0"/>
    <pivotField numFmtId="165" showAll="0"/>
    <pivotField dataField="1" numFmtId="165" showAll="0"/>
    <pivotField numFmtId="165" showAll="0"/>
    <pivotField dataField="1" numFmtId="165" showAll="0"/>
    <pivotField numFmtId="10" showAll="0"/>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2"/>
  </colFields>
  <colItems count="3">
    <i>
      <x/>
    </i>
    <i i="1">
      <x v="1"/>
    </i>
    <i i="2">
      <x v="2"/>
    </i>
  </colItems>
  <dataFields count="3">
    <dataField name="Sum of Net Sale" fld="15" baseField="0" baseItem="0" numFmtId="165"/>
    <dataField name="Sum of Profit" fld="17" baseField="0" baseItem="0" numFmtId="165"/>
    <dataField name="Sum of Quantity" fld="7" baseField="0" baseItem="0"/>
  </dataField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9E9ADF52-A703-483D-9DD8-B823BA9480FC}" sourceName="Region">
  <pivotTables>
    <pivotTable tabId="3" name="PivotTable2"/>
    <pivotTable tabId="4" name="PivotTable3"/>
    <pivotTable tabId="8" name="PivotTable7"/>
    <pivotTable tabId="7" name="PivotTable6"/>
    <pivotTable tabId="6" name="PivotTable5"/>
    <pivotTable tabId="5" name="PivotTable4"/>
  </pivotTables>
  <data>
    <tabular pivotCacheId="83465160">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74022F3-CC6E-483E-AC6E-962D008E7B02}" sourceName="Category">
  <pivotTables>
    <pivotTable tabId="4" name="PivotTable3"/>
    <pivotTable tabId="8" name="PivotTable7"/>
    <pivotTable tabId="7" name="PivotTable6"/>
    <pivotTable tabId="6" name="PivotTable5"/>
    <pivotTable tabId="3" name="PivotTable2"/>
    <pivotTable tabId="5" name="PivotTable4"/>
  </pivotTables>
  <data>
    <tabular pivotCacheId="83465160">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1582CC8-8822-4866-A9DA-93F1473F839B}" sourceName="Segment">
  <pivotTables>
    <pivotTable tabId="5" name="PivotTable4"/>
    <pivotTable tabId="4" name="PivotTable3"/>
    <pivotTable tabId="8" name="PivotTable7"/>
    <pivotTable tabId="7" name="PivotTable6"/>
    <pivotTable tabId="6" name="PivotTable5"/>
    <pivotTable tabId="3" name="PivotTable2"/>
  </pivotTables>
  <data>
    <tabular pivotCacheId="83465160">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3DC922A8-2EC9-420E-8D2D-E864B12B8A31}" sourceName="Payment Method">
  <pivotTables>
    <pivotTable tabId="7" name="PivotTable6"/>
    <pivotTable tabId="4" name="PivotTable3"/>
    <pivotTable tabId="8" name="PivotTable7"/>
    <pivotTable tabId="6" name="PivotTable5"/>
    <pivotTable tabId="3" name="PivotTable2"/>
    <pivotTable tabId="5" name="PivotTable4"/>
  </pivotTables>
  <data>
    <tabular pivotCacheId="83465160">
      <items count="4">
        <i x="3" s="1"/>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2868228F-C220-4433-9E74-218531E96BC3}" sourceName="Order Date">
  <pivotTables>
    <pivotTable tabId="8" name="PivotTable7"/>
    <pivotTable tabId="4" name="PivotTable3"/>
    <pivotTable tabId="7" name="PivotTable6"/>
    <pivotTable tabId="6" name="PivotTable5"/>
    <pivotTable tabId="3" name="PivotTable2"/>
    <pivotTable tabId="5" name="PivotTable4"/>
  </pivotTables>
  <data>
    <tabular pivotCacheId="83465160">
      <items count="30">
        <i x="0" s="1"/>
        <i x="1" s="1"/>
        <i x="2" s="1"/>
        <i x="3" s="1"/>
        <i x="4" s="1"/>
        <i x="5" s="1"/>
        <i x="6" s="1"/>
        <i x="7" s="1"/>
        <i x="8" s="1"/>
        <i x="9" s="1"/>
        <i x="10" s="1"/>
        <i x="11" s="1"/>
        <i x="12" s="1"/>
        <i x="13" s="1"/>
        <i x="14" s="1"/>
        <i x="15" s="1"/>
        <i x="16" s="1"/>
        <i x="17" s="1"/>
        <i x="18" s="1"/>
        <i x="19" s="1"/>
        <i x="20" s="1"/>
        <i x="21" s="1"/>
        <i x="22" s="1"/>
        <i x="23" s="1"/>
        <i x="24" s="1"/>
        <i x="25" s="1"/>
        <i x="26" s="1"/>
        <i x="27" s="1"/>
        <i x="28" s="1"/>
        <i x="2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DDB758B-DE7C-40D3-B4B1-79F4AC23E207}" cache="Slicer_Region1" caption="Region" rowHeight="247650"/>
  <slicer name="Category" xr10:uid="{7BCB127F-0A5C-4DB6-A5D9-D9011CC6F05A}" cache="Slicer_Category" caption="Category" rowHeight="247650"/>
  <slicer name="Segment" xr10:uid="{B6722F9D-5CFA-4209-A8DD-0BA0E498DC93}" cache="Slicer_Segment" caption="Segment" rowHeight="247650"/>
  <slicer name="Payment Method" xr10:uid="{54FA6CCC-426A-47B2-90F4-FB506152DFA5}" cache="Slicer_Payment_Method" caption="Payment Method" rowHeight="247650"/>
  <slicer name="Order Date" xr10:uid="{0861A27C-3080-42A0-AF7E-F23804255676}" cache="Slicer_Order_Date" caption="Order Dat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1D29E1-560F-468B-9A3D-50D054E4D559}" name="Table1" displayName="Table1" ref="A1:S31" totalsRowShown="0">
  <autoFilter ref="A1:S31" xr:uid="{151D29E1-560F-468B-9A3D-50D054E4D559}"/>
  <tableColumns count="19">
    <tableColumn id="1" xr3:uid="{0DA4D829-152C-4FAC-AA62-91040BDDF918}" name="Order ID"/>
    <tableColumn id="2" xr3:uid="{31EA3CCF-9F4B-4A31-B836-D4387FF438C0}" name="Order Date" dataDxfId="10"/>
    <tableColumn id="3" xr3:uid="{1864922E-0980-4928-AD58-2AD2BAD9147F}" name="Customer"/>
    <tableColumn id="4" xr3:uid="{6056E9D9-C05A-4567-8FC0-FA026F3BCD73}" name="Segment"/>
    <tableColumn id="5" xr3:uid="{922C6A12-9A07-4275-A1B8-E8C7424A63A7}" name="Region"/>
    <tableColumn id="6" xr3:uid="{A1CDACD0-0E56-4666-9749-343542A768FB}" name="Category"/>
    <tableColumn id="7" xr3:uid="{7835015E-6B31-4BB3-931C-6A0D96A81EC1}" name="Product"/>
    <tableColumn id="8" xr3:uid="{8807B7C4-1CE4-488E-8A50-3E6D63B1054E}" name="Quantity"/>
    <tableColumn id="9" xr3:uid="{DBEDF697-5279-4A4F-A1C8-72D9312085FD}" name="Unit Price" dataDxfId="0"/>
    <tableColumn id="10" xr3:uid="{8914208F-EB09-4522-B530-C84BAFC1CFF7}" name="Unit Cost" dataDxfId="1"/>
    <tableColumn id="11" xr3:uid="{9AF5B38F-7FC8-4A43-BBD0-2FD4D234EA7F}" name="Discount" dataDxfId="2"/>
    <tableColumn id="12" xr3:uid="{6A6108A8-D4F4-4E6D-81F2-8322F00C4265}" name="Shipping Cost" dataDxfId="3"/>
    <tableColumn id="13" xr3:uid="{8210E996-3CAC-4E7A-B29C-0E7CFAC3732B}" name="Payment Method"/>
    <tableColumn id="14" xr3:uid="{CD0368FF-D880-44CC-ADB0-9B7E45A62E0B}" name="Gross sale" dataDxfId="4">
      <calculatedColumnFormula>Table1[[#This Row],[Quantity]]*Table1[[#This Row],[Unit Price]]</calculatedColumnFormula>
    </tableColumn>
    <tableColumn id="15" xr3:uid="{86598067-E736-4A5D-A34B-E35E4EC501CC}" name="Discount Amount" dataDxfId="5">
      <calculatedColumnFormula>Table1[[#This Row],[Gross sale]]*Table1[[#This Row],[Discount]]</calculatedColumnFormula>
    </tableColumn>
    <tableColumn id="16" xr3:uid="{9812F8AB-7BEA-493C-84E3-EFFADF189A76}" name="Net Sale" dataDxfId="6">
      <calculatedColumnFormula>Table1[[#This Row],[Gross sale]]-Table1[[#This Row],[Discount Amount]]</calculatedColumnFormula>
    </tableColumn>
    <tableColumn id="17" xr3:uid="{B6A07A22-6B9E-4BA5-87F0-8230E409067C}" name="Total Cost" dataDxfId="7">
      <calculatedColumnFormula>Table1[[#This Row],[Unit Cost]]*Table1[[#This Row],[Quantity]]</calculatedColumnFormula>
    </tableColumn>
    <tableColumn id="18" xr3:uid="{5454D7A9-E9FC-441E-A547-8B857DECCF57}" name="Profit" dataDxfId="8">
      <calculatedColumnFormula>Table1[[#This Row],[Net Sale]]-Table1[[#This Row],[Shipping Cost]]-Table1[[#This Row],[Total Cost]]</calculatedColumnFormula>
    </tableColumn>
    <tableColumn id="19" xr3:uid="{08A165C4-D26D-496C-8155-712FAEAB3EA0}" name="Profit Margin" dataDxfId="9" dataCellStyle="Percent">
      <calculatedColumnFormula>IFERROR(R2/P2,0)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1E85F-196F-4B10-B294-2839FE10A3DA}">
  <dimension ref="A3:C8"/>
  <sheetViews>
    <sheetView workbookViewId="0">
      <selection activeCell="A3" sqref="A3"/>
    </sheetView>
  </sheetViews>
  <sheetFormatPr defaultRowHeight="14.4" x14ac:dyDescent="0.3"/>
  <cols>
    <col min="1" max="1" width="12.44140625" bestFit="1" customWidth="1"/>
    <col min="2" max="2" width="14.109375" bestFit="1" customWidth="1"/>
    <col min="3" max="3" width="12" bestFit="1" customWidth="1"/>
  </cols>
  <sheetData>
    <row r="3" spans="1:3" x14ac:dyDescent="0.3">
      <c r="A3" s="4" t="s">
        <v>70</v>
      </c>
      <c r="B3" t="s">
        <v>72</v>
      </c>
      <c r="C3" t="s">
        <v>73</v>
      </c>
    </row>
    <row r="4" spans="1:3" x14ac:dyDescent="0.3">
      <c r="A4" s="5" t="s">
        <v>31</v>
      </c>
      <c r="B4" s="7">
        <v>291665</v>
      </c>
      <c r="C4" s="7">
        <v>65715</v>
      </c>
    </row>
    <row r="5" spans="1:3" x14ac:dyDescent="0.3">
      <c r="A5" s="5" t="s">
        <v>26</v>
      </c>
      <c r="B5" s="7">
        <v>391875</v>
      </c>
      <c r="C5" s="7">
        <v>62025</v>
      </c>
    </row>
    <row r="6" spans="1:3" x14ac:dyDescent="0.3">
      <c r="A6" s="5" t="s">
        <v>21</v>
      </c>
      <c r="B6" s="7">
        <v>383625</v>
      </c>
      <c r="C6" s="7">
        <v>60525</v>
      </c>
    </row>
    <row r="7" spans="1:3" x14ac:dyDescent="0.3">
      <c r="A7" s="5" t="s">
        <v>15</v>
      </c>
      <c r="B7" s="7">
        <v>585120</v>
      </c>
      <c r="C7" s="7">
        <v>94620</v>
      </c>
    </row>
    <row r="8" spans="1:3" x14ac:dyDescent="0.3">
      <c r="A8" s="5" t="s">
        <v>71</v>
      </c>
      <c r="B8" s="7">
        <v>1652285</v>
      </c>
      <c r="C8" s="7">
        <v>282885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6DEA1-A5DF-4505-818E-B8B1CB9F11C7}">
  <dimension ref="A3:D7"/>
  <sheetViews>
    <sheetView workbookViewId="0">
      <selection activeCell="D5" sqref="D5"/>
    </sheetView>
  </sheetViews>
  <sheetFormatPr defaultRowHeight="14.4" x14ac:dyDescent="0.3"/>
  <cols>
    <col min="1" max="1" width="12.44140625" bestFit="1" customWidth="1"/>
    <col min="2" max="2" width="14.109375" bestFit="1" customWidth="1"/>
    <col min="3" max="3" width="12" bestFit="1" customWidth="1"/>
    <col min="4" max="4" width="14.21875" bestFit="1" customWidth="1"/>
  </cols>
  <sheetData>
    <row r="3" spans="1:4" x14ac:dyDescent="0.3">
      <c r="A3" s="4" t="s">
        <v>70</v>
      </c>
      <c r="B3" t="s">
        <v>72</v>
      </c>
      <c r="C3" t="s">
        <v>73</v>
      </c>
      <c r="D3" t="s">
        <v>74</v>
      </c>
    </row>
    <row r="4" spans="1:4" x14ac:dyDescent="0.3">
      <c r="A4" s="5" t="s">
        <v>27</v>
      </c>
      <c r="B4" s="7">
        <v>233630</v>
      </c>
      <c r="C4" s="7">
        <v>90980</v>
      </c>
      <c r="D4" s="6">
        <v>127</v>
      </c>
    </row>
    <row r="5" spans="1:4" x14ac:dyDescent="0.3">
      <c r="A5" s="5" t="s">
        <v>16</v>
      </c>
      <c r="B5" s="7">
        <v>1092830</v>
      </c>
      <c r="C5" s="7">
        <v>140730</v>
      </c>
      <c r="D5" s="6">
        <v>33</v>
      </c>
    </row>
    <row r="6" spans="1:4" x14ac:dyDescent="0.3">
      <c r="A6" s="5" t="s">
        <v>22</v>
      </c>
      <c r="B6" s="7">
        <v>325825</v>
      </c>
      <c r="C6" s="7">
        <v>51175</v>
      </c>
      <c r="D6" s="6">
        <v>27</v>
      </c>
    </row>
    <row r="7" spans="1:4" x14ac:dyDescent="0.3">
      <c r="A7" s="5" t="s">
        <v>71</v>
      </c>
      <c r="B7" s="7">
        <v>1652285</v>
      </c>
      <c r="C7" s="7">
        <v>282885</v>
      </c>
      <c r="D7" s="6">
        <v>187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9F89C-F7DA-4A9A-8E27-B697C08CFDC3}">
  <dimension ref="A3:D7"/>
  <sheetViews>
    <sheetView workbookViewId="0">
      <selection activeCell="A3" sqref="A3"/>
    </sheetView>
  </sheetViews>
  <sheetFormatPr defaultRowHeight="14.4" x14ac:dyDescent="0.3"/>
  <cols>
    <col min="1" max="1" width="13.109375" bestFit="1" customWidth="1"/>
    <col min="2" max="2" width="14.109375" bestFit="1" customWidth="1"/>
    <col min="3" max="3" width="12" bestFit="1" customWidth="1"/>
    <col min="4" max="4" width="14" bestFit="1" customWidth="1"/>
  </cols>
  <sheetData>
    <row r="3" spans="1:4" x14ac:dyDescent="0.3">
      <c r="A3" s="4" t="s">
        <v>70</v>
      </c>
      <c r="B3" t="s">
        <v>72</v>
      </c>
      <c r="C3" t="s">
        <v>73</v>
      </c>
      <c r="D3" t="s">
        <v>75</v>
      </c>
    </row>
    <row r="4" spans="1:4" x14ac:dyDescent="0.3">
      <c r="A4" s="5" t="s">
        <v>14</v>
      </c>
      <c r="B4" s="7">
        <v>531850</v>
      </c>
      <c r="C4" s="7">
        <v>116000</v>
      </c>
      <c r="D4" s="6">
        <v>26201</v>
      </c>
    </row>
    <row r="5" spans="1:4" x14ac:dyDescent="0.3">
      <c r="A5" s="5" t="s">
        <v>20</v>
      </c>
      <c r="B5" s="7">
        <v>768320</v>
      </c>
      <c r="C5" s="7">
        <v>89870</v>
      </c>
      <c r="D5" s="6">
        <v>18139</v>
      </c>
    </row>
    <row r="6" spans="1:4" x14ac:dyDescent="0.3">
      <c r="A6" s="5" t="s">
        <v>30</v>
      </c>
      <c r="B6" s="7">
        <v>352115</v>
      </c>
      <c r="C6" s="7">
        <v>77015</v>
      </c>
      <c r="D6" s="6">
        <v>16125</v>
      </c>
    </row>
    <row r="7" spans="1:4" x14ac:dyDescent="0.3">
      <c r="A7" s="5" t="s">
        <v>71</v>
      </c>
      <c r="B7" s="7">
        <v>1652285</v>
      </c>
      <c r="C7" s="7">
        <v>282885</v>
      </c>
      <c r="D7" s="6">
        <v>60465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86EEB-EC40-4B36-BFBA-4E28FA6BECD6}">
  <dimension ref="A3:E11"/>
  <sheetViews>
    <sheetView workbookViewId="0">
      <selection activeCell="A3" sqref="A3"/>
    </sheetView>
  </sheetViews>
  <sheetFormatPr defaultRowHeight="14.4" x14ac:dyDescent="0.3"/>
  <cols>
    <col min="1" max="1" width="13.77734375" bestFit="1" customWidth="1"/>
    <col min="2" max="2" width="14.109375" bestFit="1" customWidth="1"/>
    <col min="3" max="3" width="12" bestFit="1" customWidth="1"/>
    <col min="4" max="4" width="14.21875" bestFit="1" customWidth="1"/>
    <col min="5" max="5" width="17.6640625" bestFit="1" customWidth="1"/>
    <col min="6" max="7" width="12" bestFit="1" customWidth="1"/>
    <col min="8" max="15" width="10.44140625" bestFit="1" customWidth="1"/>
    <col min="16" max="16" width="11.5546875" bestFit="1" customWidth="1"/>
    <col min="17" max="21" width="10.44140625" bestFit="1" customWidth="1"/>
    <col min="22" max="23" width="9.44140625" bestFit="1" customWidth="1"/>
    <col min="24" max="25" width="10.44140625" bestFit="1" customWidth="1"/>
    <col min="26" max="28" width="9.44140625" bestFit="1" customWidth="1"/>
    <col min="29" max="29" width="10.44140625" bestFit="1" customWidth="1"/>
    <col min="30" max="30" width="18.6640625" bestFit="1" customWidth="1"/>
    <col min="31" max="31" width="16.109375" bestFit="1" customWidth="1"/>
  </cols>
  <sheetData>
    <row r="3" spans="1:5" x14ac:dyDescent="0.3">
      <c r="A3" s="4" t="s">
        <v>70</v>
      </c>
      <c r="B3" t="s">
        <v>72</v>
      </c>
      <c r="C3" t="s">
        <v>73</v>
      </c>
      <c r="D3" t="s">
        <v>74</v>
      </c>
      <c r="E3" t="s">
        <v>76</v>
      </c>
    </row>
    <row r="4" spans="1:5" x14ac:dyDescent="0.3">
      <c r="A4" s="5" t="s">
        <v>41</v>
      </c>
      <c r="B4" s="7">
        <v>71050</v>
      </c>
      <c r="C4" s="7">
        <v>26150</v>
      </c>
      <c r="D4" s="6">
        <v>21</v>
      </c>
      <c r="E4" s="9">
        <v>1.1015753669889008</v>
      </c>
    </row>
    <row r="5" spans="1:5" x14ac:dyDescent="0.3">
      <c r="A5" s="5" t="s">
        <v>38</v>
      </c>
      <c r="B5" s="7">
        <v>85000</v>
      </c>
      <c r="C5" s="7">
        <v>33650</v>
      </c>
      <c r="D5" s="6">
        <v>36</v>
      </c>
      <c r="E5" s="9">
        <v>1.6037681159420289</v>
      </c>
    </row>
    <row r="6" spans="1:5" x14ac:dyDescent="0.3">
      <c r="A6" s="5" t="s">
        <v>17</v>
      </c>
      <c r="B6" s="7">
        <v>753350</v>
      </c>
      <c r="C6" s="7">
        <v>73600</v>
      </c>
      <c r="D6" s="6">
        <v>13</v>
      </c>
      <c r="E6" s="9">
        <v>0.65470587882723852</v>
      </c>
    </row>
    <row r="7" spans="1:5" x14ac:dyDescent="0.3">
      <c r="A7" s="5" t="s">
        <v>32</v>
      </c>
      <c r="B7" s="7">
        <v>339480</v>
      </c>
      <c r="C7" s="7">
        <v>67130</v>
      </c>
      <c r="D7" s="6">
        <v>20</v>
      </c>
      <c r="E7" s="9">
        <v>0.98563366952001585</v>
      </c>
    </row>
    <row r="8" spans="1:5" x14ac:dyDescent="0.3">
      <c r="A8" s="5" t="s">
        <v>23</v>
      </c>
      <c r="B8" s="7">
        <v>132005</v>
      </c>
      <c r="C8" s="7">
        <v>25205</v>
      </c>
      <c r="D8" s="6">
        <v>17</v>
      </c>
      <c r="E8" s="9">
        <v>0.80228326912387637</v>
      </c>
    </row>
    <row r="9" spans="1:5" x14ac:dyDescent="0.3">
      <c r="A9" s="5" t="s">
        <v>35</v>
      </c>
      <c r="B9" s="7">
        <v>193820</v>
      </c>
      <c r="C9" s="7">
        <v>25970</v>
      </c>
      <c r="D9" s="6">
        <v>10</v>
      </c>
      <c r="E9" s="9">
        <v>0.580905392701762</v>
      </c>
    </row>
    <row r="10" spans="1:5" x14ac:dyDescent="0.3">
      <c r="A10" s="5" t="s">
        <v>28</v>
      </c>
      <c r="B10" s="7">
        <v>77580</v>
      </c>
      <c r="C10" s="7">
        <v>31180</v>
      </c>
      <c r="D10" s="6">
        <v>70</v>
      </c>
      <c r="E10" s="9">
        <v>1.6077520774102581</v>
      </c>
    </row>
    <row r="11" spans="1:5" x14ac:dyDescent="0.3">
      <c r="A11" s="5" t="s">
        <v>71</v>
      </c>
      <c r="B11" s="7">
        <v>1652285</v>
      </c>
      <c r="C11" s="7">
        <v>282885</v>
      </c>
      <c r="D11" s="6">
        <v>187</v>
      </c>
      <c r="E11" s="9">
        <v>7.3366237705140813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48250-35AC-422D-BB7E-DA94FEA22E2F}">
  <dimension ref="A3:D8"/>
  <sheetViews>
    <sheetView topLeftCell="A3" workbookViewId="0">
      <selection activeCell="B3" sqref="B3"/>
    </sheetView>
  </sheetViews>
  <sheetFormatPr defaultRowHeight="14.4" x14ac:dyDescent="0.3"/>
  <cols>
    <col min="1" max="1" width="12.44140625" bestFit="1" customWidth="1"/>
    <col min="2" max="2" width="14.109375" bestFit="1" customWidth="1"/>
    <col min="3" max="3" width="12" bestFit="1" customWidth="1"/>
    <col min="4" max="4" width="14" bestFit="1" customWidth="1"/>
  </cols>
  <sheetData>
    <row r="3" spans="1:4" x14ac:dyDescent="0.3">
      <c r="A3" s="4" t="s">
        <v>70</v>
      </c>
      <c r="B3" t="s">
        <v>72</v>
      </c>
      <c r="C3" t="s">
        <v>73</v>
      </c>
      <c r="D3" t="s">
        <v>75</v>
      </c>
    </row>
    <row r="4" spans="1:4" x14ac:dyDescent="0.3">
      <c r="A4" s="5" t="s">
        <v>36</v>
      </c>
      <c r="B4" s="7">
        <v>344640</v>
      </c>
      <c r="C4" s="7">
        <v>58790</v>
      </c>
      <c r="D4" s="6">
        <v>12099</v>
      </c>
    </row>
    <row r="5" spans="1:4" x14ac:dyDescent="0.3">
      <c r="A5" s="5" t="s">
        <v>24</v>
      </c>
      <c r="B5" s="7">
        <v>720330</v>
      </c>
      <c r="C5" s="7">
        <v>67830</v>
      </c>
      <c r="D5" s="6">
        <v>14115</v>
      </c>
    </row>
    <row r="6" spans="1:4" x14ac:dyDescent="0.3">
      <c r="A6" s="5" t="s">
        <v>33</v>
      </c>
      <c r="B6" s="7">
        <v>217880</v>
      </c>
      <c r="C6" s="7">
        <v>51880</v>
      </c>
      <c r="D6" s="6">
        <v>10073</v>
      </c>
    </row>
    <row r="7" spans="1:4" x14ac:dyDescent="0.3">
      <c r="A7" s="5" t="s">
        <v>18</v>
      </c>
      <c r="B7" s="7">
        <v>369435</v>
      </c>
      <c r="C7" s="7">
        <v>104385</v>
      </c>
      <c r="D7" s="6">
        <v>24178</v>
      </c>
    </row>
    <row r="8" spans="1:4" x14ac:dyDescent="0.3">
      <c r="A8" s="5" t="s">
        <v>71</v>
      </c>
      <c r="B8" s="7">
        <v>1652285</v>
      </c>
      <c r="C8" s="7">
        <v>282885</v>
      </c>
      <c r="D8" s="6">
        <v>60465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5A8C9-8EE8-4C30-B026-1F6587AF20AE}">
  <dimension ref="A3:D34"/>
  <sheetViews>
    <sheetView topLeftCell="A10" workbookViewId="0">
      <selection activeCell="D25" sqref="D25"/>
    </sheetView>
  </sheetViews>
  <sheetFormatPr defaultRowHeight="14.4" x14ac:dyDescent="0.3"/>
  <cols>
    <col min="1" max="1" width="12.44140625" bestFit="1" customWidth="1"/>
    <col min="2" max="2" width="14.109375" bestFit="1" customWidth="1"/>
    <col min="3" max="3" width="12" bestFit="1" customWidth="1"/>
    <col min="4" max="4" width="14.21875" bestFit="1" customWidth="1"/>
  </cols>
  <sheetData>
    <row r="3" spans="1:4" x14ac:dyDescent="0.3">
      <c r="A3" s="4" t="s">
        <v>70</v>
      </c>
      <c r="B3" t="s">
        <v>72</v>
      </c>
      <c r="C3" t="s">
        <v>73</v>
      </c>
      <c r="D3" t="s">
        <v>74</v>
      </c>
    </row>
    <row r="4" spans="1:4" x14ac:dyDescent="0.3">
      <c r="A4" s="10">
        <v>46266</v>
      </c>
      <c r="B4" s="7">
        <v>123500</v>
      </c>
      <c r="C4" s="7">
        <v>19000</v>
      </c>
      <c r="D4" s="6">
        <v>2</v>
      </c>
    </row>
    <row r="5" spans="1:4" x14ac:dyDescent="0.3">
      <c r="A5" s="10">
        <v>46267</v>
      </c>
      <c r="B5" s="7">
        <v>30600</v>
      </c>
      <c r="C5" s="7">
        <v>5500</v>
      </c>
      <c r="D5" s="6">
        <v>4</v>
      </c>
    </row>
    <row r="6" spans="1:4" x14ac:dyDescent="0.3">
      <c r="A6" s="10">
        <v>46268</v>
      </c>
      <c r="B6" s="7">
        <v>11400</v>
      </c>
      <c r="C6" s="7">
        <v>4750</v>
      </c>
      <c r="D6" s="6">
        <v>10</v>
      </c>
    </row>
    <row r="7" spans="1:4" x14ac:dyDescent="0.3">
      <c r="A7" s="10">
        <v>46269</v>
      </c>
      <c r="B7" s="7">
        <v>49680</v>
      </c>
      <c r="C7" s="7">
        <v>8730</v>
      </c>
      <c r="D7" s="6">
        <v>3</v>
      </c>
    </row>
    <row r="8" spans="1:4" x14ac:dyDescent="0.3">
      <c r="A8" s="10">
        <v>46270</v>
      </c>
      <c r="B8" s="7">
        <v>38720</v>
      </c>
      <c r="C8" s="7">
        <v>5020</v>
      </c>
      <c r="D8" s="6">
        <v>2</v>
      </c>
    </row>
    <row r="9" spans="1:4" x14ac:dyDescent="0.3">
      <c r="A9" s="10">
        <v>46271</v>
      </c>
      <c r="B9" s="7">
        <v>20000</v>
      </c>
      <c r="C9" s="7">
        <v>8600</v>
      </c>
      <c r="D9" s="6">
        <v>8</v>
      </c>
    </row>
    <row r="10" spans="1:4" x14ac:dyDescent="0.3">
      <c r="A10" s="10">
        <v>46272</v>
      </c>
      <c r="B10" s="7">
        <v>60450</v>
      </c>
      <c r="C10" s="7">
        <v>7950</v>
      </c>
      <c r="D10" s="6">
        <v>1</v>
      </c>
    </row>
    <row r="11" spans="1:4" x14ac:dyDescent="0.3">
      <c r="A11" s="10">
        <v>46273</v>
      </c>
      <c r="B11" s="7">
        <v>16625</v>
      </c>
      <c r="C11" s="7">
        <v>5875</v>
      </c>
      <c r="D11" s="6">
        <v>5</v>
      </c>
    </row>
    <row r="12" spans="1:4" x14ac:dyDescent="0.3">
      <c r="A12" s="10">
        <v>46274</v>
      </c>
      <c r="B12" s="7">
        <v>97200</v>
      </c>
      <c r="C12" s="7">
        <v>15600</v>
      </c>
      <c r="D12" s="6">
        <v>6</v>
      </c>
    </row>
    <row r="13" spans="1:4" x14ac:dyDescent="0.3">
      <c r="A13" s="10">
        <v>46275</v>
      </c>
      <c r="B13" s="7">
        <v>17000</v>
      </c>
      <c r="C13" s="7">
        <v>4350</v>
      </c>
      <c r="D13" s="6">
        <v>2</v>
      </c>
    </row>
    <row r="14" spans="1:4" x14ac:dyDescent="0.3">
      <c r="A14" s="10">
        <v>46276</v>
      </c>
      <c r="B14" s="7">
        <v>16560</v>
      </c>
      <c r="C14" s="7">
        <v>6610</v>
      </c>
      <c r="D14" s="6">
        <v>15</v>
      </c>
    </row>
    <row r="15" spans="1:4" x14ac:dyDescent="0.3">
      <c r="A15" s="10">
        <v>46277</v>
      </c>
      <c r="B15" s="7">
        <v>171600</v>
      </c>
      <c r="C15" s="7">
        <v>14850</v>
      </c>
      <c r="D15" s="6">
        <v>3</v>
      </c>
    </row>
    <row r="16" spans="1:4" x14ac:dyDescent="0.3">
      <c r="A16" s="10">
        <v>46278</v>
      </c>
      <c r="B16" s="7">
        <v>20900</v>
      </c>
      <c r="C16" s="7">
        <v>4050</v>
      </c>
      <c r="D16" s="6">
        <v>1</v>
      </c>
    </row>
    <row r="17" spans="1:4" x14ac:dyDescent="0.3">
      <c r="A17" s="10">
        <v>46279</v>
      </c>
      <c r="B17" s="7">
        <v>27000</v>
      </c>
      <c r="C17" s="7">
        <v>9900</v>
      </c>
      <c r="D17" s="6">
        <v>12</v>
      </c>
    </row>
    <row r="18" spans="1:4" x14ac:dyDescent="0.3">
      <c r="A18" s="10">
        <v>46280</v>
      </c>
      <c r="B18" s="7">
        <v>68400</v>
      </c>
      <c r="C18" s="7">
        <v>13900</v>
      </c>
      <c r="D18" s="6">
        <v>4</v>
      </c>
    </row>
    <row r="19" spans="1:4" x14ac:dyDescent="0.3">
      <c r="A19" s="10">
        <v>46281</v>
      </c>
      <c r="B19" s="7">
        <v>24500</v>
      </c>
      <c r="C19" s="7">
        <v>9550</v>
      </c>
      <c r="D19" s="6">
        <v>7</v>
      </c>
    </row>
    <row r="20" spans="1:4" x14ac:dyDescent="0.3">
      <c r="A20" s="10">
        <v>46282</v>
      </c>
      <c r="B20" s="7">
        <v>117000</v>
      </c>
      <c r="C20" s="7">
        <v>12400</v>
      </c>
      <c r="D20" s="6">
        <v>2</v>
      </c>
    </row>
    <row r="21" spans="1:4" x14ac:dyDescent="0.3">
      <c r="A21" s="10">
        <v>46283</v>
      </c>
      <c r="B21" s="7">
        <v>39525</v>
      </c>
      <c r="C21" s="7">
        <v>8125</v>
      </c>
      <c r="D21" s="6">
        <v>5</v>
      </c>
    </row>
    <row r="22" spans="1:4" x14ac:dyDescent="0.3">
      <c r="A22" s="10">
        <v>46284</v>
      </c>
      <c r="B22" s="7">
        <v>21120</v>
      </c>
      <c r="C22" s="7">
        <v>7870</v>
      </c>
      <c r="D22" s="6">
        <v>20</v>
      </c>
    </row>
    <row r="23" spans="1:4" x14ac:dyDescent="0.3">
      <c r="A23" s="10">
        <v>46285</v>
      </c>
      <c r="B23" s="7">
        <v>34200</v>
      </c>
      <c r="C23" s="7">
        <v>6900</v>
      </c>
      <c r="D23" s="6">
        <v>2</v>
      </c>
    </row>
    <row r="24" spans="1:4" x14ac:dyDescent="0.3">
      <c r="A24" s="10">
        <v>46286</v>
      </c>
      <c r="B24" s="7">
        <v>23000</v>
      </c>
      <c r="C24" s="7">
        <v>8750</v>
      </c>
      <c r="D24" s="6">
        <v>10</v>
      </c>
    </row>
    <row r="25" spans="1:4" x14ac:dyDescent="0.3">
      <c r="A25" s="10">
        <v>46287</v>
      </c>
      <c r="B25" s="7">
        <v>221000</v>
      </c>
      <c r="C25" s="7">
        <v>12100</v>
      </c>
      <c r="D25" s="6">
        <v>4</v>
      </c>
    </row>
    <row r="26" spans="1:4" x14ac:dyDescent="0.3">
      <c r="A26" s="10">
        <v>46288</v>
      </c>
      <c r="B26" s="7">
        <v>59400</v>
      </c>
      <c r="C26" s="7">
        <v>9100</v>
      </c>
      <c r="D26" s="6">
        <v>3</v>
      </c>
    </row>
    <row r="27" spans="1:4" x14ac:dyDescent="0.3">
      <c r="A27" s="10">
        <v>46289</v>
      </c>
      <c r="B27" s="7">
        <v>29925</v>
      </c>
      <c r="C27" s="7">
        <v>10725</v>
      </c>
      <c r="D27" s="6">
        <v>9</v>
      </c>
    </row>
    <row r="28" spans="1:4" x14ac:dyDescent="0.3">
      <c r="A28" s="10">
        <v>46290</v>
      </c>
      <c r="B28" s="7">
        <v>90000</v>
      </c>
      <c r="C28" s="7">
        <v>22000</v>
      </c>
      <c r="D28" s="6">
        <v>5</v>
      </c>
    </row>
    <row r="29" spans="1:4" x14ac:dyDescent="0.3">
      <c r="A29" s="10">
        <v>46291</v>
      </c>
      <c r="B29" s="7">
        <v>44880</v>
      </c>
      <c r="C29" s="7">
        <v>7230</v>
      </c>
      <c r="D29" s="6">
        <v>6</v>
      </c>
    </row>
    <row r="30" spans="1:4" x14ac:dyDescent="0.3">
      <c r="A30" s="10">
        <v>46292</v>
      </c>
      <c r="B30" s="7">
        <v>28500</v>
      </c>
      <c r="C30" s="7">
        <v>11950</v>
      </c>
      <c r="D30" s="6">
        <v>25</v>
      </c>
    </row>
    <row r="31" spans="1:4" x14ac:dyDescent="0.3">
      <c r="A31" s="10">
        <v>46293</v>
      </c>
      <c r="B31" s="7">
        <v>59800</v>
      </c>
      <c r="C31" s="7">
        <v>7300</v>
      </c>
      <c r="D31" s="6">
        <v>1</v>
      </c>
    </row>
    <row r="32" spans="1:4" x14ac:dyDescent="0.3">
      <c r="A32" s="10">
        <v>46294</v>
      </c>
      <c r="B32" s="7">
        <v>74800</v>
      </c>
      <c r="C32" s="7">
        <v>7800</v>
      </c>
      <c r="D32" s="6">
        <v>4</v>
      </c>
    </row>
    <row r="33" spans="1:4" x14ac:dyDescent="0.3">
      <c r="A33" s="10">
        <v>46295</v>
      </c>
      <c r="B33" s="7">
        <v>15000</v>
      </c>
      <c r="C33" s="7">
        <v>6400</v>
      </c>
      <c r="D33" s="6">
        <v>6</v>
      </c>
    </row>
    <row r="34" spans="1:4" x14ac:dyDescent="0.3">
      <c r="A34" s="10" t="s">
        <v>71</v>
      </c>
      <c r="B34" s="7">
        <v>1652285</v>
      </c>
      <c r="C34" s="7">
        <v>282885</v>
      </c>
      <c r="D34" s="6">
        <v>187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3CD09-C317-4C78-8C5C-70241D499D34}">
  <dimension ref="A1:K7"/>
  <sheetViews>
    <sheetView showGridLines="0" tabSelected="1" zoomScale="85" zoomScaleNormal="85" workbookViewId="0">
      <selection sqref="A1:K1"/>
    </sheetView>
  </sheetViews>
  <sheetFormatPr defaultRowHeight="14.4" x14ac:dyDescent="0.3"/>
  <cols>
    <col min="3" max="3" width="11" customWidth="1"/>
    <col min="9" max="9" width="11.6640625" customWidth="1"/>
    <col min="10" max="10" width="13.88671875" customWidth="1"/>
    <col min="11" max="11" width="8.88671875" customWidth="1"/>
  </cols>
  <sheetData>
    <row r="1" spans="1:11" ht="24" thickBot="1" x14ac:dyDescent="0.5">
      <c r="A1" s="11" t="s">
        <v>77</v>
      </c>
      <c r="B1" s="11"/>
      <c r="C1" s="11"/>
      <c r="D1" s="11"/>
      <c r="E1" s="11"/>
      <c r="F1" s="11"/>
      <c r="G1" s="11"/>
      <c r="H1" s="11"/>
      <c r="I1" s="11"/>
      <c r="J1" s="11"/>
      <c r="K1" s="11"/>
    </row>
    <row r="2" spans="1:11" s="12" customFormat="1" ht="19.2" thickTop="1" thickBot="1" x14ac:dyDescent="0.35">
      <c r="B2" s="15" t="s">
        <v>82</v>
      </c>
      <c r="C2" s="16"/>
      <c r="D2" s="16" t="s">
        <v>78</v>
      </c>
      <c r="E2" s="16"/>
      <c r="F2" s="16" t="s">
        <v>79</v>
      </c>
      <c r="G2" s="16"/>
      <c r="H2" s="16" t="s">
        <v>80</v>
      </c>
      <c r="I2" s="16"/>
      <c r="J2" s="16" t="s">
        <v>81</v>
      </c>
      <c r="K2" s="17"/>
    </row>
    <row r="3" spans="1:11" s="13" customFormat="1" ht="14.4" customHeight="1" thickBot="1" x14ac:dyDescent="0.4">
      <c r="B3" s="18">
        <f>SUM('[1]Raw Data'!P2:P31)</f>
        <v>1652285</v>
      </c>
      <c r="C3" s="19"/>
      <c r="D3" s="19">
        <f>SUM('[1]Raw Data'!R2:R31)</f>
        <v>282885</v>
      </c>
      <c r="E3" s="19"/>
      <c r="F3" s="20">
        <f>SUM('[1]Raw Data'!H2:H31)</f>
        <v>187</v>
      </c>
      <c r="G3" s="20"/>
      <c r="H3" s="20">
        <f>COUNTA('[1]Raw Data'!A2:A31)</f>
        <v>30</v>
      </c>
      <c r="I3" s="20"/>
      <c r="J3" s="21">
        <f>IFERROR(SUM('[1]Raw Data'!R2:R31)/SUM('[1]Raw Data'!P2:P31),0)</f>
        <v>0.17120835691179184</v>
      </c>
      <c r="K3" s="22"/>
    </row>
    <row r="4" spans="1:11" s="13" customFormat="1" ht="14.4" customHeight="1" thickBot="1" x14ac:dyDescent="0.4">
      <c r="B4" s="23"/>
      <c r="C4" s="24"/>
      <c r="D4" s="24"/>
      <c r="E4" s="24"/>
      <c r="F4" s="25"/>
      <c r="G4" s="25"/>
      <c r="H4" s="25"/>
      <c r="I4" s="25"/>
      <c r="J4" s="26"/>
      <c r="K4" s="27"/>
    </row>
    <row r="5" spans="1:11" ht="15" thickTop="1" x14ac:dyDescent="0.3"/>
    <row r="7" spans="1:11" x14ac:dyDescent="0.3">
      <c r="C7" s="14"/>
    </row>
  </sheetData>
  <mergeCells count="11">
    <mergeCell ref="F3:G4"/>
    <mergeCell ref="H3:I4"/>
    <mergeCell ref="J3:K4"/>
    <mergeCell ref="B2:C2"/>
    <mergeCell ref="D2:E2"/>
    <mergeCell ref="F2:G2"/>
    <mergeCell ref="H2:I2"/>
    <mergeCell ref="J2:K2"/>
    <mergeCell ref="A1:K1"/>
    <mergeCell ref="B3:C4"/>
    <mergeCell ref="D3:E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3EFFB-930F-40B3-812B-9A6218F4664F}">
  <dimension ref="A1:S31"/>
  <sheetViews>
    <sheetView workbookViewId="0"/>
  </sheetViews>
  <sheetFormatPr defaultRowHeight="14.4" x14ac:dyDescent="0.3"/>
  <cols>
    <col min="1" max="1" width="9.77734375" customWidth="1"/>
    <col min="2" max="2" width="13.77734375" customWidth="1"/>
    <col min="3" max="3" width="11" customWidth="1"/>
    <col min="4" max="4" width="10.21875" customWidth="1"/>
    <col min="6" max="6" width="10.21875" customWidth="1"/>
    <col min="7" max="7" width="9.44140625" customWidth="1"/>
    <col min="8" max="8" width="10" customWidth="1"/>
    <col min="9" max="10" width="12.88671875" style="8" customWidth="1"/>
    <col min="11" max="11" width="10.21875" customWidth="1"/>
    <col min="12" max="12" width="12.88671875" style="8" customWidth="1"/>
    <col min="13" max="13" width="16.77734375" customWidth="1"/>
    <col min="14" max="18" width="12.88671875" style="8" customWidth="1"/>
    <col min="19" max="19" width="15.21875" style="3" customWidth="1"/>
  </cols>
  <sheetData>
    <row r="1" spans="1:19" x14ac:dyDescent="0.3">
      <c r="A1" t="s">
        <v>0</v>
      </c>
      <c r="B1" t="s">
        <v>1</v>
      </c>
      <c r="C1" t="s">
        <v>2</v>
      </c>
      <c r="D1" t="s">
        <v>3</v>
      </c>
      <c r="E1" t="s">
        <v>4</v>
      </c>
      <c r="F1" t="s">
        <v>5</v>
      </c>
      <c r="G1" t="s">
        <v>6</v>
      </c>
      <c r="H1" t="s">
        <v>7</v>
      </c>
      <c r="I1" s="8" t="s">
        <v>8</v>
      </c>
      <c r="J1" s="8" t="s">
        <v>9</v>
      </c>
      <c r="K1" t="s">
        <v>10</v>
      </c>
      <c r="L1" s="8" t="s">
        <v>11</v>
      </c>
      <c r="M1" t="s">
        <v>12</v>
      </c>
      <c r="N1" s="8" t="s">
        <v>64</v>
      </c>
      <c r="O1" s="8" t="s">
        <v>66</v>
      </c>
      <c r="P1" s="8" t="s">
        <v>65</v>
      </c>
      <c r="Q1" s="8" t="s">
        <v>67</v>
      </c>
      <c r="R1" s="8" t="s">
        <v>68</v>
      </c>
      <c r="S1" s="3" t="s">
        <v>69</v>
      </c>
    </row>
    <row r="2" spans="1:19" x14ac:dyDescent="0.3">
      <c r="A2">
        <v>2001</v>
      </c>
      <c r="B2" s="1">
        <v>46266</v>
      </c>
      <c r="C2" t="s">
        <v>13</v>
      </c>
      <c r="D2" t="s">
        <v>14</v>
      </c>
      <c r="E2" t="s">
        <v>15</v>
      </c>
      <c r="F2" t="s">
        <v>16</v>
      </c>
      <c r="G2" t="s">
        <v>17</v>
      </c>
      <c r="H2">
        <v>2</v>
      </c>
      <c r="I2" s="8">
        <v>65000</v>
      </c>
      <c r="J2" s="8">
        <v>52000</v>
      </c>
      <c r="K2" s="2">
        <v>0.05</v>
      </c>
      <c r="L2" s="8">
        <v>500</v>
      </c>
      <c r="M2" t="s">
        <v>18</v>
      </c>
      <c r="N2" s="8">
        <f>Table1[[#This Row],[Quantity]]*Table1[[#This Row],[Unit Price]]</f>
        <v>130000</v>
      </c>
      <c r="O2" s="8">
        <f>Table1[[#This Row],[Gross sale]]*Table1[[#This Row],[Discount]]</f>
        <v>6500</v>
      </c>
      <c r="P2" s="8">
        <f>Table1[[#This Row],[Gross sale]]-Table1[[#This Row],[Discount Amount]]</f>
        <v>123500</v>
      </c>
      <c r="Q2" s="8">
        <f>Table1[[#This Row],[Unit Cost]]*Table1[[#This Row],[Quantity]]</f>
        <v>104000</v>
      </c>
      <c r="R2" s="8">
        <f>Table1[[#This Row],[Net Sale]]-Table1[[#This Row],[Shipping Cost]]-Table1[[#This Row],[Total Cost]]</f>
        <v>19000</v>
      </c>
      <c r="S2" s="3">
        <f>IFERROR(R2/P2,0)</f>
        <v>0.15384615384615385</v>
      </c>
    </row>
    <row r="3" spans="1:19" x14ac:dyDescent="0.3">
      <c r="A3">
        <v>2002</v>
      </c>
      <c r="B3" s="1">
        <v>46267</v>
      </c>
      <c r="C3" t="s">
        <v>19</v>
      </c>
      <c r="D3" t="s">
        <v>20</v>
      </c>
      <c r="E3" t="s">
        <v>21</v>
      </c>
      <c r="F3" t="s">
        <v>22</v>
      </c>
      <c r="G3" t="s">
        <v>23</v>
      </c>
      <c r="H3">
        <v>4</v>
      </c>
      <c r="I3" s="8">
        <v>8500</v>
      </c>
      <c r="J3" s="8">
        <v>6200</v>
      </c>
      <c r="K3" s="2">
        <v>0.1</v>
      </c>
      <c r="L3" s="8">
        <v>300</v>
      </c>
      <c r="M3" t="s">
        <v>24</v>
      </c>
      <c r="N3" s="8">
        <f>Table1[[#This Row],[Quantity]]*Table1[[#This Row],[Unit Price]]</f>
        <v>34000</v>
      </c>
      <c r="O3" s="8">
        <f>Table1[[#This Row],[Gross sale]]*Table1[[#This Row],[Discount]]</f>
        <v>3400</v>
      </c>
      <c r="P3" s="8">
        <f>Table1[[#This Row],[Gross sale]]-Table1[[#This Row],[Discount Amount]]</f>
        <v>30600</v>
      </c>
      <c r="Q3" s="8">
        <f>Table1[[#This Row],[Unit Cost]]*Table1[[#This Row],[Quantity]]</f>
        <v>24800</v>
      </c>
      <c r="R3" s="8">
        <f>Table1[[#This Row],[Net Sale]]-Table1[[#This Row],[Shipping Cost]]-Table1[[#This Row],[Total Cost]]</f>
        <v>5500</v>
      </c>
      <c r="S3" s="3">
        <f t="shared" ref="S3:S31" si="0">IFERROR(R3/P3,0)</f>
        <v>0.17973856209150327</v>
      </c>
    </row>
    <row r="4" spans="1:19" x14ac:dyDescent="0.3">
      <c r="A4">
        <v>2003</v>
      </c>
      <c r="B4" s="1">
        <v>46268</v>
      </c>
      <c r="C4" t="s">
        <v>25</v>
      </c>
      <c r="D4" t="s">
        <v>14</v>
      </c>
      <c r="E4" t="s">
        <v>26</v>
      </c>
      <c r="F4" t="s">
        <v>27</v>
      </c>
      <c r="G4" t="s">
        <v>28</v>
      </c>
      <c r="H4">
        <v>10</v>
      </c>
      <c r="I4" s="8">
        <v>1200</v>
      </c>
      <c r="J4" s="8">
        <v>650</v>
      </c>
      <c r="K4" s="2">
        <v>0.05</v>
      </c>
      <c r="L4" s="8">
        <v>150</v>
      </c>
      <c r="M4" t="s">
        <v>18</v>
      </c>
      <c r="N4" s="8">
        <f>Table1[[#This Row],[Quantity]]*Table1[[#This Row],[Unit Price]]</f>
        <v>12000</v>
      </c>
      <c r="O4" s="8">
        <f>Table1[[#This Row],[Gross sale]]*Table1[[#This Row],[Discount]]</f>
        <v>600</v>
      </c>
      <c r="P4" s="8">
        <f>Table1[[#This Row],[Gross sale]]-Table1[[#This Row],[Discount Amount]]</f>
        <v>11400</v>
      </c>
      <c r="Q4" s="8">
        <f>Table1[[#This Row],[Unit Cost]]*Table1[[#This Row],[Quantity]]</f>
        <v>6500</v>
      </c>
      <c r="R4" s="8">
        <f>Table1[[#This Row],[Net Sale]]-Table1[[#This Row],[Shipping Cost]]-Table1[[#This Row],[Total Cost]]</f>
        <v>4750</v>
      </c>
      <c r="S4" s="3">
        <f t="shared" si="0"/>
        <v>0.41666666666666669</v>
      </c>
    </row>
    <row r="5" spans="1:19" x14ac:dyDescent="0.3">
      <c r="A5">
        <v>2004</v>
      </c>
      <c r="B5" s="1">
        <v>46269</v>
      </c>
      <c r="C5" t="s">
        <v>29</v>
      </c>
      <c r="D5" t="s">
        <v>30</v>
      </c>
      <c r="E5" t="s">
        <v>31</v>
      </c>
      <c r="F5" t="s">
        <v>16</v>
      </c>
      <c r="G5" t="s">
        <v>32</v>
      </c>
      <c r="H5">
        <v>3</v>
      </c>
      <c r="I5" s="8">
        <v>18000</v>
      </c>
      <c r="J5" s="8">
        <v>13500</v>
      </c>
      <c r="K5" s="2">
        <v>0.08</v>
      </c>
      <c r="L5" s="8">
        <v>450</v>
      </c>
      <c r="M5" t="s">
        <v>33</v>
      </c>
      <c r="N5" s="8">
        <f>Table1[[#This Row],[Quantity]]*Table1[[#This Row],[Unit Price]]</f>
        <v>54000</v>
      </c>
      <c r="O5" s="8">
        <f>Table1[[#This Row],[Gross sale]]*Table1[[#This Row],[Discount]]</f>
        <v>4320</v>
      </c>
      <c r="P5" s="8">
        <f>Table1[[#This Row],[Gross sale]]-Table1[[#This Row],[Discount Amount]]</f>
        <v>49680</v>
      </c>
      <c r="Q5" s="8">
        <f>Table1[[#This Row],[Unit Cost]]*Table1[[#This Row],[Quantity]]</f>
        <v>40500</v>
      </c>
      <c r="R5" s="8">
        <f>Table1[[#This Row],[Net Sale]]-Table1[[#This Row],[Shipping Cost]]-Table1[[#This Row],[Total Cost]]</f>
        <v>8730</v>
      </c>
      <c r="S5" s="3">
        <f t="shared" si="0"/>
        <v>0.17572463768115942</v>
      </c>
    </row>
    <row r="6" spans="1:19" x14ac:dyDescent="0.3">
      <c r="A6">
        <v>2005</v>
      </c>
      <c r="B6" s="1">
        <v>46270</v>
      </c>
      <c r="C6" t="s">
        <v>34</v>
      </c>
      <c r="D6" t="s">
        <v>20</v>
      </c>
      <c r="E6" t="s">
        <v>15</v>
      </c>
      <c r="F6" t="s">
        <v>22</v>
      </c>
      <c r="G6" t="s">
        <v>35</v>
      </c>
      <c r="H6">
        <v>2</v>
      </c>
      <c r="I6" s="8">
        <v>22000</v>
      </c>
      <c r="J6" s="8">
        <v>16500</v>
      </c>
      <c r="K6" s="2">
        <v>0.12</v>
      </c>
      <c r="L6" s="8">
        <v>700</v>
      </c>
      <c r="M6" t="s">
        <v>36</v>
      </c>
      <c r="N6" s="8">
        <f>Table1[[#This Row],[Quantity]]*Table1[[#This Row],[Unit Price]]</f>
        <v>44000</v>
      </c>
      <c r="O6" s="8">
        <f>Table1[[#This Row],[Gross sale]]*Table1[[#This Row],[Discount]]</f>
        <v>5280</v>
      </c>
      <c r="P6" s="8">
        <f>Table1[[#This Row],[Gross sale]]-Table1[[#This Row],[Discount Amount]]</f>
        <v>38720</v>
      </c>
      <c r="Q6" s="8">
        <f>Table1[[#This Row],[Unit Cost]]*Table1[[#This Row],[Quantity]]</f>
        <v>33000</v>
      </c>
      <c r="R6" s="8">
        <f>Table1[[#This Row],[Net Sale]]-Table1[[#This Row],[Shipping Cost]]-Table1[[#This Row],[Total Cost]]</f>
        <v>5020</v>
      </c>
      <c r="S6" s="3">
        <f t="shared" si="0"/>
        <v>0.12964876033057851</v>
      </c>
    </row>
    <row r="7" spans="1:19" x14ac:dyDescent="0.3">
      <c r="A7">
        <v>2006</v>
      </c>
      <c r="B7" s="1">
        <v>46271</v>
      </c>
      <c r="C7" t="s">
        <v>37</v>
      </c>
      <c r="D7" t="s">
        <v>14</v>
      </c>
      <c r="E7" t="s">
        <v>21</v>
      </c>
      <c r="F7" t="s">
        <v>27</v>
      </c>
      <c r="G7" t="s">
        <v>38</v>
      </c>
      <c r="H7">
        <v>8</v>
      </c>
      <c r="I7" s="8">
        <v>2500</v>
      </c>
      <c r="J7" s="8">
        <v>1400</v>
      </c>
      <c r="K7" s="2">
        <v>0</v>
      </c>
      <c r="L7" s="8">
        <v>200</v>
      </c>
      <c r="M7" t="s">
        <v>18</v>
      </c>
      <c r="N7" s="8">
        <f>Table1[[#This Row],[Quantity]]*Table1[[#This Row],[Unit Price]]</f>
        <v>20000</v>
      </c>
      <c r="O7" s="8">
        <f>Table1[[#This Row],[Gross sale]]*Table1[[#This Row],[Discount]]</f>
        <v>0</v>
      </c>
      <c r="P7" s="8">
        <f>Table1[[#This Row],[Gross sale]]-Table1[[#This Row],[Discount Amount]]</f>
        <v>20000</v>
      </c>
      <c r="Q7" s="8">
        <f>Table1[[#This Row],[Unit Cost]]*Table1[[#This Row],[Quantity]]</f>
        <v>11200</v>
      </c>
      <c r="R7" s="8">
        <f>Table1[[#This Row],[Net Sale]]-Table1[[#This Row],[Shipping Cost]]-Table1[[#This Row],[Total Cost]]</f>
        <v>8600</v>
      </c>
      <c r="S7" s="3">
        <f t="shared" si="0"/>
        <v>0.43</v>
      </c>
    </row>
    <row r="8" spans="1:19" x14ac:dyDescent="0.3">
      <c r="A8">
        <v>2007</v>
      </c>
      <c r="B8" s="1">
        <v>46272</v>
      </c>
      <c r="C8" t="s">
        <v>39</v>
      </c>
      <c r="D8" t="s">
        <v>30</v>
      </c>
      <c r="E8" t="s">
        <v>26</v>
      </c>
      <c r="F8" t="s">
        <v>16</v>
      </c>
      <c r="G8" t="s">
        <v>17</v>
      </c>
      <c r="H8">
        <v>1</v>
      </c>
      <c r="I8" s="8">
        <v>65000</v>
      </c>
      <c r="J8" s="8">
        <v>52000</v>
      </c>
      <c r="K8" s="2">
        <v>7.0000000000000007E-2</v>
      </c>
      <c r="L8" s="8">
        <v>500</v>
      </c>
      <c r="M8" t="s">
        <v>24</v>
      </c>
      <c r="N8" s="8">
        <f>Table1[[#This Row],[Quantity]]*Table1[[#This Row],[Unit Price]]</f>
        <v>65000</v>
      </c>
      <c r="O8" s="8">
        <f>Table1[[#This Row],[Gross sale]]*Table1[[#This Row],[Discount]]</f>
        <v>4550</v>
      </c>
      <c r="P8" s="8">
        <f>Table1[[#This Row],[Gross sale]]-Table1[[#This Row],[Discount Amount]]</f>
        <v>60450</v>
      </c>
      <c r="Q8" s="8">
        <f>Table1[[#This Row],[Unit Cost]]*Table1[[#This Row],[Quantity]]</f>
        <v>52000</v>
      </c>
      <c r="R8" s="8">
        <f>Table1[[#This Row],[Net Sale]]-Table1[[#This Row],[Shipping Cost]]-Table1[[#This Row],[Total Cost]]</f>
        <v>7950</v>
      </c>
      <c r="S8" s="3">
        <f t="shared" si="0"/>
        <v>0.13151364764267989</v>
      </c>
    </row>
    <row r="9" spans="1:19" x14ac:dyDescent="0.3">
      <c r="A9">
        <v>2008</v>
      </c>
      <c r="B9" s="1">
        <v>46273</v>
      </c>
      <c r="C9" t="s">
        <v>40</v>
      </c>
      <c r="D9" t="s">
        <v>14</v>
      </c>
      <c r="E9" t="s">
        <v>31</v>
      </c>
      <c r="F9" t="s">
        <v>27</v>
      </c>
      <c r="G9" t="s">
        <v>41</v>
      </c>
      <c r="H9">
        <v>5</v>
      </c>
      <c r="I9" s="8">
        <v>3500</v>
      </c>
      <c r="J9" s="8">
        <v>2100</v>
      </c>
      <c r="K9" s="2">
        <v>0.05</v>
      </c>
      <c r="L9" s="8">
        <v>250</v>
      </c>
      <c r="M9" t="s">
        <v>18</v>
      </c>
      <c r="N9" s="8">
        <f>Table1[[#This Row],[Quantity]]*Table1[[#This Row],[Unit Price]]</f>
        <v>17500</v>
      </c>
      <c r="O9" s="8">
        <f>Table1[[#This Row],[Gross sale]]*Table1[[#This Row],[Discount]]</f>
        <v>875</v>
      </c>
      <c r="P9" s="8">
        <f>Table1[[#This Row],[Gross sale]]-Table1[[#This Row],[Discount Amount]]</f>
        <v>16625</v>
      </c>
      <c r="Q9" s="8">
        <f>Table1[[#This Row],[Unit Cost]]*Table1[[#This Row],[Quantity]]</f>
        <v>10500</v>
      </c>
      <c r="R9" s="8">
        <f>Table1[[#This Row],[Net Sale]]-Table1[[#This Row],[Shipping Cost]]-Table1[[#This Row],[Total Cost]]</f>
        <v>5875</v>
      </c>
      <c r="S9" s="3">
        <f t="shared" si="0"/>
        <v>0.35338345864661652</v>
      </c>
    </row>
    <row r="10" spans="1:19" x14ac:dyDescent="0.3">
      <c r="A10">
        <v>2009</v>
      </c>
      <c r="B10" s="1">
        <v>46274</v>
      </c>
      <c r="C10" t="s">
        <v>42</v>
      </c>
      <c r="D10" t="s">
        <v>20</v>
      </c>
      <c r="E10" t="s">
        <v>15</v>
      </c>
      <c r="F10" t="s">
        <v>16</v>
      </c>
      <c r="G10" t="s">
        <v>32</v>
      </c>
      <c r="H10">
        <v>6</v>
      </c>
      <c r="I10" s="8">
        <v>18000</v>
      </c>
      <c r="J10" s="8">
        <v>13500</v>
      </c>
      <c r="K10" s="2">
        <v>0.1</v>
      </c>
      <c r="L10" s="8">
        <v>600</v>
      </c>
      <c r="M10" t="s">
        <v>36</v>
      </c>
      <c r="N10" s="8">
        <f>Table1[[#This Row],[Quantity]]*Table1[[#This Row],[Unit Price]]</f>
        <v>108000</v>
      </c>
      <c r="O10" s="8">
        <f>Table1[[#This Row],[Gross sale]]*Table1[[#This Row],[Discount]]</f>
        <v>10800</v>
      </c>
      <c r="P10" s="8">
        <f>Table1[[#This Row],[Gross sale]]-Table1[[#This Row],[Discount Amount]]</f>
        <v>97200</v>
      </c>
      <c r="Q10" s="8">
        <f>Table1[[#This Row],[Unit Cost]]*Table1[[#This Row],[Quantity]]</f>
        <v>81000</v>
      </c>
      <c r="R10" s="8">
        <f>Table1[[#This Row],[Net Sale]]-Table1[[#This Row],[Shipping Cost]]-Table1[[#This Row],[Total Cost]]</f>
        <v>15600</v>
      </c>
      <c r="S10" s="3">
        <f t="shared" si="0"/>
        <v>0.16049382716049382</v>
      </c>
    </row>
    <row r="11" spans="1:19" x14ac:dyDescent="0.3">
      <c r="A11">
        <v>2010</v>
      </c>
      <c r="B11" s="1">
        <v>46275</v>
      </c>
      <c r="C11" t="s">
        <v>43</v>
      </c>
      <c r="D11" t="s">
        <v>14</v>
      </c>
      <c r="E11" t="s">
        <v>21</v>
      </c>
      <c r="F11" t="s">
        <v>22</v>
      </c>
      <c r="G11" t="s">
        <v>23</v>
      </c>
      <c r="H11">
        <v>2</v>
      </c>
      <c r="I11" s="8">
        <v>8500</v>
      </c>
      <c r="J11" s="8">
        <v>6200</v>
      </c>
      <c r="K11" s="2">
        <v>0</v>
      </c>
      <c r="L11" s="8">
        <v>250</v>
      </c>
      <c r="M11" t="s">
        <v>33</v>
      </c>
      <c r="N11" s="8">
        <f>Table1[[#This Row],[Quantity]]*Table1[[#This Row],[Unit Price]]</f>
        <v>17000</v>
      </c>
      <c r="O11" s="8">
        <f>Table1[[#This Row],[Gross sale]]*Table1[[#This Row],[Discount]]</f>
        <v>0</v>
      </c>
      <c r="P11" s="8">
        <f>Table1[[#This Row],[Gross sale]]-Table1[[#This Row],[Discount Amount]]</f>
        <v>17000</v>
      </c>
      <c r="Q11" s="8">
        <f>Table1[[#This Row],[Unit Cost]]*Table1[[#This Row],[Quantity]]</f>
        <v>12400</v>
      </c>
      <c r="R11" s="8">
        <f>Table1[[#This Row],[Net Sale]]-Table1[[#This Row],[Shipping Cost]]-Table1[[#This Row],[Total Cost]]</f>
        <v>4350</v>
      </c>
      <c r="S11" s="3">
        <f t="shared" si="0"/>
        <v>0.25588235294117645</v>
      </c>
    </row>
    <row r="12" spans="1:19" x14ac:dyDescent="0.3">
      <c r="A12">
        <v>2011</v>
      </c>
      <c r="B12" s="1">
        <v>46276</v>
      </c>
      <c r="C12" t="s">
        <v>44</v>
      </c>
      <c r="D12" t="s">
        <v>30</v>
      </c>
      <c r="E12" t="s">
        <v>31</v>
      </c>
      <c r="F12" t="s">
        <v>27</v>
      </c>
      <c r="G12" t="s">
        <v>28</v>
      </c>
      <c r="H12">
        <v>15</v>
      </c>
      <c r="I12" s="8">
        <v>1200</v>
      </c>
      <c r="J12" s="8">
        <v>650</v>
      </c>
      <c r="K12" s="2">
        <v>0.08</v>
      </c>
      <c r="L12" s="8">
        <v>200</v>
      </c>
      <c r="M12" t="s">
        <v>18</v>
      </c>
      <c r="N12" s="8">
        <f>Table1[[#This Row],[Quantity]]*Table1[[#This Row],[Unit Price]]</f>
        <v>18000</v>
      </c>
      <c r="O12" s="8">
        <f>Table1[[#This Row],[Gross sale]]*Table1[[#This Row],[Discount]]</f>
        <v>1440</v>
      </c>
      <c r="P12" s="8">
        <f>Table1[[#This Row],[Gross sale]]-Table1[[#This Row],[Discount Amount]]</f>
        <v>16560</v>
      </c>
      <c r="Q12" s="8">
        <f>Table1[[#This Row],[Unit Cost]]*Table1[[#This Row],[Quantity]]</f>
        <v>9750</v>
      </c>
      <c r="R12" s="8">
        <f>Table1[[#This Row],[Net Sale]]-Table1[[#This Row],[Shipping Cost]]-Table1[[#This Row],[Total Cost]]</f>
        <v>6610</v>
      </c>
      <c r="S12" s="3">
        <f t="shared" si="0"/>
        <v>0.39915458937198067</v>
      </c>
    </row>
    <row r="13" spans="1:19" x14ac:dyDescent="0.3">
      <c r="A13">
        <v>2012</v>
      </c>
      <c r="B13" s="1">
        <v>46277</v>
      </c>
      <c r="C13" t="s">
        <v>45</v>
      </c>
      <c r="D13" t="s">
        <v>20</v>
      </c>
      <c r="E13" t="s">
        <v>26</v>
      </c>
      <c r="F13" t="s">
        <v>16</v>
      </c>
      <c r="G13" t="s">
        <v>17</v>
      </c>
      <c r="H13">
        <v>3</v>
      </c>
      <c r="I13" s="8">
        <v>65000</v>
      </c>
      <c r="J13" s="8">
        <v>52000</v>
      </c>
      <c r="K13" s="2">
        <v>0.12</v>
      </c>
      <c r="L13" s="8">
        <v>750</v>
      </c>
      <c r="M13" t="s">
        <v>24</v>
      </c>
      <c r="N13" s="8">
        <f>Table1[[#This Row],[Quantity]]*Table1[[#This Row],[Unit Price]]</f>
        <v>195000</v>
      </c>
      <c r="O13" s="8">
        <f>Table1[[#This Row],[Gross sale]]*Table1[[#This Row],[Discount]]</f>
        <v>23400</v>
      </c>
      <c r="P13" s="8">
        <f>Table1[[#This Row],[Gross sale]]-Table1[[#This Row],[Discount Amount]]</f>
        <v>171600</v>
      </c>
      <c r="Q13" s="8">
        <f>Table1[[#This Row],[Unit Cost]]*Table1[[#This Row],[Quantity]]</f>
        <v>156000</v>
      </c>
      <c r="R13" s="8">
        <f>Table1[[#This Row],[Net Sale]]-Table1[[#This Row],[Shipping Cost]]-Table1[[#This Row],[Total Cost]]</f>
        <v>14850</v>
      </c>
      <c r="S13" s="3">
        <f t="shared" si="0"/>
        <v>8.6538461538461536E-2</v>
      </c>
    </row>
    <row r="14" spans="1:19" x14ac:dyDescent="0.3">
      <c r="A14">
        <v>2013</v>
      </c>
      <c r="B14" s="1">
        <v>46278</v>
      </c>
      <c r="C14" t="s">
        <v>46</v>
      </c>
      <c r="D14" t="s">
        <v>14</v>
      </c>
      <c r="E14" t="s">
        <v>15</v>
      </c>
      <c r="F14" t="s">
        <v>22</v>
      </c>
      <c r="G14" t="s">
        <v>35</v>
      </c>
      <c r="H14">
        <v>1</v>
      </c>
      <c r="I14" s="8">
        <v>22000</v>
      </c>
      <c r="J14" s="8">
        <v>16500</v>
      </c>
      <c r="K14" s="2">
        <v>0.05</v>
      </c>
      <c r="L14" s="8">
        <v>350</v>
      </c>
      <c r="M14" t="s">
        <v>18</v>
      </c>
      <c r="N14" s="8">
        <f>Table1[[#This Row],[Quantity]]*Table1[[#This Row],[Unit Price]]</f>
        <v>22000</v>
      </c>
      <c r="O14" s="8">
        <f>Table1[[#This Row],[Gross sale]]*Table1[[#This Row],[Discount]]</f>
        <v>1100</v>
      </c>
      <c r="P14" s="8">
        <f>Table1[[#This Row],[Gross sale]]-Table1[[#This Row],[Discount Amount]]</f>
        <v>20900</v>
      </c>
      <c r="Q14" s="8">
        <f>Table1[[#This Row],[Unit Cost]]*Table1[[#This Row],[Quantity]]</f>
        <v>16500</v>
      </c>
      <c r="R14" s="8">
        <f>Table1[[#This Row],[Net Sale]]-Table1[[#This Row],[Shipping Cost]]-Table1[[#This Row],[Total Cost]]</f>
        <v>4050</v>
      </c>
      <c r="S14" s="3">
        <f t="shared" si="0"/>
        <v>0.19377990430622011</v>
      </c>
    </row>
    <row r="15" spans="1:19" x14ac:dyDescent="0.3">
      <c r="A15">
        <v>2014</v>
      </c>
      <c r="B15" s="1">
        <v>46279</v>
      </c>
      <c r="C15" t="s">
        <v>47</v>
      </c>
      <c r="D15" t="s">
        <v>30</v>
      </c>
      <c r="E15" t="s">
        <v>21</v>
      </c>
      <c r="F15" t="s">
        <v>27</v>
      </c>
      <c r="G15" t="s">
        <v>38</v>
      </c>
      <c r="H15">
        <v>12</v>
      </c>
      <c r="I15" s="8">
        <v>2500</v>
      </c>
      <c r="J15" s="8">
        <v>1400</v>
      </c>
      <c r="K15" s="2">
        <v>0.1</v>
      </c>
      <c r="L15" s="8">
        <v>300</v>
      </c>
      <c r="M15" t="s">
        <v>33</v>
      </c>
      <c r="N15" s="8">
        <f>Table1[[#This Row],[Quantity]]*Table1[[#This Row],[Unit Price]]</f>
        <v>30000</v>
      </c>
      <c r="O15" s="8">
        <f>Table1[[#This Row],[Gross sale]]*Table1[[#This Row],[Discount]]</f>
        <v>3000</v>
      </c>
      <c r="P15" s="8">
        <f>Table1[[#This Row],[Gross sale]]-Table1[[#This Row],[Discount Amount]]</f>
        <v>27000</v>
      </c>
      <c r="Q15" s="8">
        <f>Table1[[#This Row],[Unit Cost]]*Table1[[#This Row],[Quantity]]</f>
        <v>16800</v>
      </c>
      <c r="R15" s="8">
        <f>Table1[[#This Row],[Net Sale]]-Table1[[#This Row],[Shipping Cost]]-Table1[[#This Row],[Total Cost]]</f>
        <v>9900</v>
      </c>
      <c r="S15" s="3">
        <f t="shared" si="0"/>
        <v>0.36666666666666664</v>
      </c>
    </row>
    <row r="16" spans="1:19" x14ac:dyDescent="0.3">
      <c r="A16">
        <v>2015</v>
      </c>
      <c r="B16" s="1">
        <v>46280</v>
      </c>
      <c r="C16" t="s">
        <v>48</v>
      </c>
      <c r="D16" t="s">
        <v>20</v>
      </c>
      <c r="E16" t="s">
        <v>31</v>
      </c>
      <c r="F16" t="s">
        <v>16</v>
      </c>
      <c r="G16" t="s">
        <v>32</v>
      </c>
      <c r="H16">
        <v>4</v>
      </c>
      <c r="I16" s="8">
        <v>18000</v>
      </c>
      <c r="J16" s="8">
        <v>13500</v>
      </c>
      <c r="K16" s="2">
        <v>0.05</v>
      </c>
      <c r="L16" s="8">
        <v>500</v>
      </c>
      <c r="M16" t="s">
        <v>36</v>
      </c>
      <c r="N16" s="8">
        <f>Table1[[#This Row],[Quantity]]*Table1[[#This Row],[Unit Price]]</f>
        <v>72000</v>
      </c>
      <c r="O16" s="8">
        <f>Table1[[#This Row],[Gross sale]]*Table1[[#This Row],[Discount]]</f>
        <v>3600</v>
      </c>
      <c r="P16" s="8">
        <f>Table1[[#This Row],[Gross sale]]-Table1[[#This Row],[Discount Amount]]</f>
        <v>68400</v>
      </c>
      <c r="Q16" s="8">
        <f>Table1[[#This Row],[Unit Cost]]*Table1[[#This Row],[Quantity]]</f>
        <v>54000</v>
      </c>
      <c r="R16" s="8">
        <f>Table1[[#This Row],[Net Sale]]-Table1[[#This Row],[Shipping Cost]]-Table1[[#This Row],[Total Cost]]</f>
        <v>13900</v>
      </c>
      <c r="S16" s="3">
        <f t="shared" si="0"/>
        <v>0.20321637426900585</v>
      </c>
    </row>
    <row r="17" spans="1:19" x14ac:dyDescent="0.3">
      <c r="A17">
        <v>2016</v>
      </c>
      <c r="B17" s="1">
        <v>46281</v>
      </c>
      <c r="C17" t="s">
        <v>49</v>
      </c>
      <c r="D17" t="s">
        <v>14</v>
      </c>
      <c r="E17" t="s">
        <v>26</v>
      </c>
      <c r="F17" t="s">
        <v>27</v>
      </c>
      <c r="G17" t="s">
        <v>41</v>
      </c>
      <c r="H17">
        <v>7</v>
      </c>
      <c r="I17" s="8">
        <v>3500</v>
      </c>
      <c r="J17" s="8">
        <v>2100</v>
      </c>
      <c r="K17" s="2">
        <v>0</v>
      </c>
      <c r="L17" s="8">
        <v>250</v>
      </c>
      <c r="M17" t="s">
        <v>18</v>
      </c>
      <c r="N17" s="8">
        <f>Table1[[#This Row],[Quantity]]*Table1[[#This Row],[Unit Price]]</f>
        <v>24500</v>
      </c>
      <c r="O17" s="8">
        <f>Table1[[#This Row],[Gross sale]]*Table1[[#This Row],[Discount]]</f>
        <v>0</v>
      </c>
      <c r="P17" s="8">
        <f>Table1[[#This Row],[Gross sale]]-Table1[[#This Row],[Discount Amount]]</f>
        <v>24500</v>
      </c>
      <c r="Q17" s="8">
        <f>Table1[[#This Row],[Unit Cost]]*Table1[[#This Row],[Quantity]]</f>
        <v>14700</v>
      </c>
      <c r="R17" s="8">
        <f>Table1[[#This Row],[Net Sale]]-Table1[[#This Row],[Shipping Cost]]-Table1[[#This Row],[Total Cost]]</f>
        <v>9550</v>
      </c>
      <c r="S17" s="3">
        <f t="shared" si="0"/>
        <v>0.38979591836734695</v>
      </c>
    </row>
    <row r="18" spans="1:19" x14ac:dyDescent="0.3">
      <c r="A18">
        <v>2017</v>
      </c>
      <c r="B18" s="1">
        <v>46282</v>
      </c>
      <c r="C18" t="s">
        <v>50</v>
      </c>
      <c r="D18" t="s">
        <v>30</v>
      </c>
      <c r="E18" t="s">
        <v>15</v>
      </c>
      <c r="F18" t="s">
        <v>16</v>
      </c>
      <c r="G18" t="s">
        <v>17</v>
      </c>
      <c r="H18">
        <v>2</v>
      </c>
      <c r="I18" s="8">
        <v>65000</v>
      </c>
      <c r="J18" s="8">
        <v>52000</v>
      </c>
      <c r="K18" s="2">
        <v>0.1</v>
      </c>
      <c r="L18" s="8">
        <v>600</v>
      </c>
      <c r="M18" t="s">
        <v>24</v>
      </c>
      <c r="N18" s="8">
        <f>Table1[[#This Row],[Quantity]]*Table1[[#This Row],[Unit Price]]</f>
        <v>130000</v>
      </c>
      <c r="O18" s="8">
        <f>Table1[[#This Row],[Gross sale]]*Table1[[#This Row],[Discount]]</f>
        <v>13000</v>
      </c>
      <c r="P18" s="8">
        <f>Table1[[#This Row],[Gross sale]]-Table1[[#This Row],[Discount Amount]]</f>
        <v>117000</v>
      </c>
      <c r="Q18" s="8">
        <f>Table1[[#This Row],[Unit Cost]]*Table1[[#This Row],[Quantity]]</f>
        <v>104000</v>
      </c>
      <c r="R18" s="8">
        <f>Table1[[#This Row],[Net Sale]]-Table1[[#This Row],[Shipping Cost]]-Table1[[#This Row],[Total Cost]]</f>
        <v>12400</v>
      </c>
      <c r="S18" s="3">
        <f t="shared" si="0"/>
        <v>0.10598290598290598</v>
      </c>
    </row>
    <row r="19" spans="1:19" x14ac:dyDescent="0.3">
      <c r="A19">
        <v>2018</v>
      </c>
      <c r="B19" s="1">
        <v>46283</v>
      </c>
      <c r="C19" t="s">
        <v>51</v>
      </c>
      <c r="D19" t="s">
        <v>14</v>
      </c>
      <c r="E19" t="s">
        <v>21</v>
      </c>
      <c r="F19" t="s">
        <v>22</v>
      </c>
      <c r="G19" t="s">
        <v>23</v>
      </c>
      <c r="H19">
        <v>5</v>
      </c>
      <c r="I19" s="8">
        <v>8500</v>
      </c>
      <c r="J19" s="8">
        <v>6200</v>
      </c>
      <c r="K19" s="2">
        <v>7.0000000000000007E-2</v>
      </c>
      <c r="L19" s="8">
        <v>400</v>
      </c>
      <c r="M19" t="s">
        <v>18</v>
      </c>
      <c r="N19" s="8">
        <f>Table1[[#This Row],[Quantity]]*Table1[[#This Row],[Unit Price]]</f>
        <v>42500</v>
      </c>
      <c r="O19" s="8">
        <f>Table1[[#This Row],[Gross sale]]*Table1[[#This Row],[Discount]]</f>
        <v>2975.0000000000005</v>
      </c>
      <c r="P19" s="8">
        <f>Table1[[#This Row],[Gross sale]]-Table1[[#This Row],[Discount Amount]]</f>
        <v>39525</v>
      </c>
      <c r="Q19" s="8">
        <f>Table1[[#This Row],[Unit Cost]]*Table1[[#This Row],[Quantity]]</f>
        <v>31000</v>
      </c>
      <c r="R19" s="8">
        <f>Table1[[#This Row],[Net Sale]]-Table1[[#This Row],[Shipping Cost]]-Table1[[#This Row],[Total Cost]]</f>
        <v>8125</v>
      </c>
      <c r="S19" s="3">
        <f t="shared" si="0"/>
        <v>0.20556609740670462</v>
      </c>
    </row>
    <row r="20" spans="1:19" x14ac:dyDescent="0.3">
      <c r="A20">
        <v>2019</v>
      </c>
      <c r="B20" s="1">
        <v>46284</v>
      </c>
      <c r="C20" t="s">
        <v>52</v>
      </c>
      <c r="D20" t="s">
        <v>20</v>
      </c>
      <c r="E20" t="s">
        <v>31</v>
      </c>
      <c r="F20" t="s">
        <v>27</v>
      </c>
      <c r="G20" t="s">
        <v>28</v>
      </c>
      <c r="H20">
        <v>20</v>
      </c>
      <c r="I20" s="8">
        <v>1200</v>
      </c>
      <c r="J20" s="8">
        <v>650</v>
      </c>
      <c r="K20" s="2">
        <v>0.12</v>
      </c>
      <c r="L20" s="8">
        <v>250</v>
      </c>
      <c r="M20" t="s">
        <v>36</v>
      </c>
      <c r="N20" s="8">
        <f>Table1[[#This Row],[Quantity]]*Table1[[#This Row],[Unit Price]]</f>
        <v>24000</v>
      </c>
      <c r="O20" s="8">
        <f>Table1[[#This Row],[Gross sale]]*Table1[[#This Row],[Discount]]</f>
        <v>2880</v>
      </c>
      <c r="P20" s="8">
        <f>Table1[[#This Row],[Gross sale]]-Table1[[#This Row],[Discount Amount]]</f>
        <v>21120</v>
      </c>
      <c r="Q20" s="8">
        <f>Table1[[#This Row],[Unit Cost]]*Table1[[#This Row],[Quantity]]</f>
        <v>13000</v>
      </c>
      <c r="R20" s="8">
        <f>Table1[[#This Row],[Net Sale]]-Table1[[#This Row],[Shipping Cost]]-Table1[[#This Row],[Total Cost]]</f>
        <v>7870</v>
      </c>
      <c r="S20" s="3">
        <f t="shared" si="0"/>
        <v>0.37263257575757575</v>
      </c>
    </row>
    <row r="21" spans="1:19" x14ac:dyDescent="0.3">
      <c r="A21">
        <v>2020</v>
      </c>
      <c r="B21" s="1">
        <v>46285</v>
      </c>
      <c r="C21" t="s">
        <v>53</v>
      </c>
      <c r="D21" t="s">
        <v>14</v>
      </c>
      <c r="E21" t="s">
        <v>26</v>
      </c>
      <c r="F21" t="s">
        <v>16</v>
      </c>
      <c r="G21" t="s">
        <v>32</v>
      </c>
      <c r="H21">
        <v>2</v>
      </c>
      <c r="I21" s="8">
        <v>18000</v>
      </c>
      <c r="J21" s="8">
        <v>13500</v>
      </c>
      <c r="K21" s="2">
        <v>0.05</v>
      </c>
      <c r="L21" s="8">
        <v>300</v>
      </c>
      <c r="M21" t="s">
        <v>33</v>
      </c>
      <c r="N21" s="8">
        <f>Table1[[#This Row],[Quantity]]*Table1[[#This Row],[Unit Price]]</f>
        <v>36000</v>
      </c>
      <c r="O21" s="8">
        <f>Table1[[#This Row],[Gross sale]]*Table1[[#This Row],[Discount]]</f>
        <v>1800</v>
      </c>
      <c r="P21" s="8">
        <f>Table1[[#This Row],[Gross sale]]-Table1[[#This Row],[Discount Amount]]</f>
        <v>34200</v>
      </c>
      <c r="Q21" s="8">
        <f>Table1[[#This Row],[Unit Cost]]*Table1[[#This Row],[Quantity]]</f>
        <v>27000</v>
      </c>
      <c r="R21" s="8">
        <f>Table1[[#This Row],[Net Sale]]-Table1[[#This Row],[Shipping Cost]]-Table1[[#This Row],[Total Cost]]</f>
        <v>6900</v>
      </c>
      <c r="S21" s="3">
        <f t="shared" si="0"/>
        <v>0.20175438596491227</v>
      </c>
    </row>
    <row r="22" spans="1:19" x14ac:dyDescent="0.3">
      <c r="A22">
        <v>2021</v>
      </c>
      <c r="B22" s="1">
        <v>46286</v>
      </c>
      <c r="C22" t="s">
        <v>54</v>
      </c>
      <c r="D22" t="s">
        <v>30</v>
      </c>
      <c r="E22" t="s">
        <v>15</v>
      </c>
      <c r="F22" t="s">
        <v>27</v>
      </c>
      <c r="G22" t="s">
        <v>38</v>
      </c>
      <c r="H22">
        <v>10</v>
      </c>
      <c r="I22" s="8">
        <v>2500</v>
      </c>
      <c r="J22" s="8">
        <v>1400</v>
      </c>
      <c r="K22" s="2">
        <v>0.08</v>
      </c>
      <c r="L22" s="8">
        <v>250</v>
      </c>
      <c r="M22" t="s">
        <v>18</v>
      </c>
      <c r="N22" s="8">
        <f>Table1[[#This Row],[Quantity]]*Table1[[#This Row],[Unit Price]]</f>
        <v>25000</v>
      </c>
      <c r="O22" s="8">
        <f>Table1[[#This Row],[Gross sale]]*Table1[[#This Row],[Discount]]</f>
        <v>2000</v>
      </c>
      <c r="P22" s="8">
        <f>Table1[[#This Row],[Gross sale]]-Table1[[#This Row],[Discount Amount]]</f>
        <v>23000</v>
      </c>
      <c r="Q22" s="8">
        <f>Table1[[#This Row],[Unit Cost]]*Table1[[#This Row],[Quantity]]</f>
        <v>14000</v>
      </c>
      <c r="R22" s="8">
        <f>Table1[[#This Row],[Net Sale]]-Table1[[#This Row],[Shipping Cost]]-Table1[[#This Row],[Total Cost]]</f>
        <v>8750</v>
      </c>
      <c r="S22" s="3">
        <f t="shared" si="0"/>
        <v>0.38043478260869568</v>
      </c>
    </row>
    <row r="23" spans="1:19" x14ac:dyDescent="0.3">
      <c r="A23">
        <v>2022</v>
      </c>
      <c r="B23" s="1">
        <v>46287</v>
      </c>
      <c r="C23" t="s">
        <v>55</v>
      </c>
      <c r="D23" t="s">
        <v>20</v>
      </c>
      <c r="E23" t="s">
        <v>21</v>
      </c>
      <c r="F23" t="s">
        <v>16</v>
      </c>
      <c r="G23" t="s">
        <v>17</v>
      </c>
      <c r="H23">
        <v>4</v>
      </c>
      <c r="I23" s="8">
        <v>65000</v>
      </c>
      <c r="J23" s="8">
        <v>52000</v>
      </c>
      <c r="K23" s="2">
        <v>0.15</v>
      </c>
      <c r="L23" s="8">
        <v>900</v>
      </c>
      <c r="M23" t="s">
        <v>24</v>
      </c>
      <c r="N23" s="8">
        <f>Table1[[#This Row],[Quantity]]*Table1[[#This Row],[Unit Price]]</f>
        <v>260000</v>
      </c>
      <c r="O23" s="8">
        <f>Table1[[#This Row],[Gross sale]]*Table1[[#This Row],[Discount]]</f>
        <v>39000</v>
      </c>
      <c r="P23" s="8">
        <f>Table1[[#This Row],[Gross sale]]-Table1[[#This Row],[Discount Amount]]</f>
        <v>221000</v>
      </c>
      <c r="Q23" s="8">
        <f>Table1[[#This Row],[Unit Cost]]*Table1[[#This Row],[Quantity]]</f>
        <v>208000</v>
      </c>
      <c r="R23" s="8">
        <f>Table1[[#This Row],[Net Sale]]-Table1[[#This Row],[Shipping Cost]]-Table1[[#This Row],[Total Cost]]</f>
        <v>12100</v>
      </c>
      <c r="S23" s="3">
        <f t="shared" si="0"/>
        <v>5.4751131221719457E-2</v>
      </c>
    </row>
    <row r="24" spans="1:19" x14ac:dyDescent="0.3">
      <c r="A24">
        <v>2023</v>
      </c>
      <c r="B24" s="1">
        <v>46288</v>
      </c>
      <c r="C24" t="s">
        <v>56</v>
      </c>
      <c r="D24" t="s">
        <v>14</v>
      </c>
      <c r="E24" t="s">
        <v>31</v>
      </c>
      <c r="F24" t="s">
        <v>22</v>
      </c>
      <c r="G24" t="s">
        <v>35</v>
      </c>
      <c r="H24">
        <v>3</v>
      </c>
      <c r="I24" s="8">
        <v>22000</v>
      </c>
      <c r="J24" s="8">
        <v>16500</v>
      </c>
      <c r="K24" s="2">
        <v>0.1</v>
      </c>
      <c r="L24" s="8">
        <v>800</v>
      </c>
      <c r="M24" t="s">
        <v>36</v>
      </c>
      <c r="N24" s="8">
        <f>Table1[[#This Row],[Quantity]]*Table1[[#This Row],[Unit Price]]</f>
        <v>66000</v>
      </c>
      <c r="O24" s="8">
        <f>Table1[[#This Row],[Gross sale]]*Table1[[#This Row],[Discount]]</f>
        <v>6600</v>
      </c>
      <c r="P24" s="8">
        <f>Table1[[#This Row],[Gross sale]]-Table1[[#This Row],[Discount Amount]]</f>
        <v>59400</v>
      </c>
      <c r="Q24" s="8">
        <f>Table1[[#This Row],[Unit Cost]]*Table1[[#This Row],[Quantity]]</f>
        <v>49500</v>
      </c>
      <c r="R24" s="8">
        <f>Table1[[#This Row],[Net Sale]]-Table1[[#This Row],[Shipping Cost]]-Table1[[#This Row],[Total Cost]]</f>
        <v>9100</v>
      </c>
      <c r="S24" s="3">
        <f t="shared" si="0"/>
        <v>0.1531986531986532</v>
      </c>
    </row>
    <row r="25" spans="1:19" x14ac:dyDescent="0.3">
      <c r="A25">
        <v>2024</v>
      </c>
      <c r="B25" s="1">
        <v>46289</v>
      </c>
      <c r="C25" t="s">
        <v>57</v>
      </c>
      <c r="D25" t="s">
        <v>30</v>
      </c>
      <c r="E25" t="s">
        <v>26</v>
      </c>
      <c r="F25" t="s">
        <v>27</v>
      </c>
      <c r="G25" t="s">
        <v>41</v>
      </c>
      <c r="H25">
        <v>9</v>
      </c>
      <c r="I25" s="8">
        <v>3500</v>
      </c>
      <c r="J25" s="8">
        <v>2100</v>
      </c>
      <c r="K25" s="2">
        <v>0.05</v>
      </c>
      <c r="L25" s="8">
        <v>300</v>
      </c>
      <c r="M25" t="s">
        <v>18</v>
      </c>
      <c r="N25" s="8">
        <f>Table1[[#This Row],[Quantity]]*Table1[[#This Row],[Unit Price]]</f>
        <v>31500</v>
      </c>
      <c r="O25" s="8">
        <f>Table1[[#This Row],[Gross sale]]*Table1[[#This Row],[Discount]]</f>
        <v>1575</v>
      </c>
      <c r="P25" s="8">
        <f>Table1[[#This Row],[Gross sale]]-Table1[[#This Row],[Discount Amount]]</f>
        <v>29925</v>
      </c>
      <c r="Q25" s="8">
        <f>Table1[[#This Row],[Unit Cost]]*Table1[[#This Row],[Quantity]]</f>
        <v>18900</v>
      </c>
      <c r="R25" s="8">
        <f>Table1[[#This Row],[Net Sale]]-Table1[[#This Row],[Shipping Cost]]-Table1[[#This Row],[Total Cost]]</f>
        <v>10725</v>
      </c>
      <c r="S25" s="3">
        <f t="shared" si="0"/>
        <v>0.35839598997493732</v>
      </c>
    </row>
    <row r="26" spans="1:19" x14ac:dyDescent="0.3">
      <c r="A26">
        <v>2025</v>
      </c>
      <c r="B26" s="1">
        <v>46290</v>
      </c>
      <c r="C26" t="s">
        <v>58</v>
      </c>
      <c r="D26" t="s">
        <v>14</v>
      </c>
      <c r="E26" t="s">
        <v>15</v>
      </c>
      <c r="F26" t="s">
        <v>16</v>
      </c>
      <c r="G26" t="s">
        <v>32</v>
      </c>
      <c r="H26">
        <v>5</v>
      </c>
      <c r="I26" s="8">
        <v>18000</v>
      </c>
      <c r="J26" s="8">
        <v>13500</v>
      </c>
      <c r="K26" s="2">
        <v>0</v>
      </c>
      <c r="L26" s="8">
        <v>500</v>
      </c>
      <c r="M26" t="s">
        <v>33</v>
      </c>
      <c r="N26" s="8">
        <f>Table1[[#This Row],[Quantity]]*Table1[[#This Row],[Unit Price]]</f>
        <v>90000</v>
      </c>
      <c r="O26" s="8">
        <f>Table1[[#This Row],[Gross sale]]*Table1[[#This Row],[Discount]]</f>
        <v>0</v>
      </c>
      <c r="P26" s="8">
        <f>Table1[[#This Row],[Gross sale]]-Table1[[#This Row],[Discount Amount]]</f>
        <v>90000</v>
      </c>
      <c r="Q26" s="8">
        <f>Table1[[#This Row],[Unit Cost]]*Table1[[#This Row],[Quantity]]</f>
        <v>67500</v>
      </c>
      <c r="R26" s="8">
        <f>Table1[[#This Row],[Net Sale]]-Table1[[#This Row],[Shipping Cost]]-Table1[[#This Row],[Total Cost]]</f>
        <v>22000</v>
      </c>
      <c r="S26" s="3">
        <f t="shared" si="0"/>
        <v>0.24444444444444444</v>
      </c>
    </row>
    <row r="27" spans="1:19" x14ac:dyDescent="0.3">
      <c r="A27">
        <v>2026</v>
      </c>
      <c r="B27" s="1">
        <v>46291</v>
      </c>
      <c r="C27" t="s">
        <v>59</v>
      </c>
      <c r="D27" t="s">
        <v>20</v>
      </c>
      <c r="E27" t="s">
        <v>31</v>
      </c>
      <c r="F27" t="s">
        <v>22</v>
      </c>
      <c r="G27" t="s">
        <v>23</v>
      </c>
      <c r="H27">
        <v>6</v>
      </c>
      <c r="I27" s="8">
        <v>8500</v>
      </c>
      <c r="J27" s="8">
        <v>6200</v>
      </c>
      <c r="K27" s="2">
        <v>0.12</v>
      </c>
      <c r="L27" s="8">
        <v>450</v>
      </c>
      <c r="M27" t="s">
        <v>24</v>
      </c>
      <c r="N27" s="8">
        <f>Table1[[#This Row],[Quantity]]*Table1[[#This Row],[Unit Price]]</f>
        <v>51000</v>
      </c>
      <c r="O27" s="8">
        <f>Table1[[#This Row],[Gross sale]]*Table1[[#This Row],[Discount]]</f>
        <v>6120</v>
      </c>
      <c r="P27" s="8">
        <f>Table1[[#This Row],[Gross sale]]-Table1[[#This Row],[Discount Amount]]</f>
        <v>44880</v>
      </c>
      <c r="Q27" s="8">
        <f>Table1[[#This Row],[Unit Cost]]*Table1[[#This Row],[Quantity]]</f>
        <v>37200</v>
      </c>
      <c r="R27" s="8">
        <f>Table1[[#This Row],[Net Sale]]-Table1[[#This Row],[Shipping Cost]]-Table1[[#This Row],[Total Cost]]</f>
        <v>7230</v>
      </c>
      <c r="S27" s="3">
        <f t="shared" si="0"/>
        <v>0.16109625668449198</v>
      </c>
    </row>
    <row r="28" spans="1:19" x14ac:dyDescent="0.3">
      <c r="A28">
        <v>2027</v>
      </c>
      <c r="B28" s="1">
        <v>46292</v>
      </c>
      <c r="C28" t="s">
        <v>60</v>
      </c>
      <c r="D28" t="s">
        <v>30</v>
      </c>
      <c r="E28" t="s">
        <v>21</v>
      </c>
      <c r="F28" t="s">
        <v>27</v>
      </c>
      <c r="G28" t="s">
        <v>28</v>
      </c>
      <c r="H28">
        <v>25</v>
      </c>
      <c r="I28" s="8">
        <v>1200</v>
      </c>
      <c r="J28" s="8">
        <v>650</v>
      </c>
      <c r="K28" s="2">
        <v>0.05</v>
      </c>
      <c r="L28" s="8">
        <v>300</v>
      </c>
      <c r="M28" t="s">
        <v>18</v>
      </c>
      <c r="N28" s="8">
        <f>Table1[[#This Row],[Quantity]]*Table1[[#This Row],[Unit Price]]</f>
        <v>30000</v>
      </c>
      <c r="O28" s="8">
        <f>Table1[[#This Row],[Gross sale]]*Table1[[#This Row],[Discount]]</f>
        <v>1500</v>
      </c>
      <c r="P28" s="8">
        <f>Table1[[#This Row],[Gross sale]]-Table1[[#This Row],[Discount Amount]]</f>
        <v>28500</v>
      </c>
      <c r="Q28" s="8">
        <f>Table1[[#This Row],[Unit Cost]]*Table1[[#This Row],[Quantity]]</f>
        <v>16250</v>
      </c>
      <c r="R28" s="8">
        <f>Table1[[#This Row],[Net Sale]]-Table1[[#This Row],[Shipping Cost]]-Table1[[#This Row],[Total Cost]]</f>
        <v>11950</v>
      </c>
      <c r="S28" s="3">
        <f t="shared" si="0"/>
        <v>0.41929824561403511</v>
      </c>
    </row>
    <row r="29" spans="1:19" x14ac:dyDescent="0.3">
      <c r="A29">
        <v>2028</v>
      </c>
      <c r="B29" s="1">
        <v>46293</v>
      </c>
      <c r="C29" t="s">
        <v>61</v>
      </c>
      <c r="D29" t="s">
        <v>14</v>
      </c>
      <c r="E29" t="s">
        <v>26</v>
      </c>
      <c r="F29" t="s">
        <v>16</v>
      </c>
      <c r="G29" t="s">
        <v>17</v>
      </c>
      <c r="H29">
        <v>1</v>
      </c>
      <c r="I29" s="8">
        <v>65000</v>
      </c>
      <c r="J29" s="8">
        <v>52000</v>
      </c>
      <c r="K29" s="2">
        <v>0.08</v>
      </c>
      <c r="L29" s="8">
        <v>500</v>
      </c>
      <c r="M29" t="s">
        <v>36</v>
      </c>
      <c r="N29" s="8">
        <f>Table1[[#This Row],[Quantity]]*Table1[[#This Row],[Unit Price]]</f>
        <v>65000</v>
      </c>
      <c r="O29" s="8">
        <f>Table1[[#This Row],[Gross sale]]*Table1[[#This Row],[Discount]]</f>
        <v>5200</v>
      </c>
      <c r="P29" s="8">
        <f>Table1[[#This Row],[Gross sale]]-Table1[[#This Row],[Discount Amount]]</f>
        <v>59800</v>
      </c>
      <c r="Q29" s="8">
        <f>Table1[[#This Row],[Unit Cost]]*Table1[[#This Row],[Quantity]]</f>
        <v>52000</v>
      </c>
      <c r="R29" s="8">
        <f>Table1[[#This Row],[Net Sale]]-Table1[[#This Row],[Shipping Cost]]-Table1[[#This Row],[Total Cost]]</f>
        <v>7300</v>
      </c>
      <c r="S29" s="3">
        <f t="shared" si="0"/>
        <v>0.12207357859531773</v>
      </c>
    </row>
    <row r="30" spans="1:19" x14ac:dyDescent="0.3">
      <c r="A30">
        <v>2029</v>
      </c>
      <c r="B30" s="1">
        <v>46294</v>
      </c>
      <c r="C30" t="s">
        <v>62</v>
      </c>
      <c r="D30" t="s">
        <v>20</v>
      </c>
      <c r="E30" t="s">
        <v>15</v>
      </c>
      <c r="F30" t="s">
        <v>22</v>
      </c>
      <c r="G30" t="s">
        <v>35</v>
      </c>
      <c r="H30">
        <v>4</v>
      </c>
      <c r="I30" s="8">
        <v>22000</v>
      </c>
      <c r="J30" s="8">
        <v>16500</v>
      </c>
      <c r="K30" s="2">
        <v>0.15</v>
      </c>
      <c r="L30" s="8">
        <v>1000</v>
      </c>
      <c r="M30" t="s">
        <v>24</v>
      </c>
      <c r="N30" s="8">
        <f>Table1[[#This Row],[Quantity]]*Table1[[#This Row],[Unit Price]]</f>
        <v>88000</v>
      </c>
      <c r="O30" s="8">
        <f>Table1[[#This Row],[Gross sale]]*Table1[[#This Row],[Discount]]</f>
        <v>13200</v>
      </c>
      <c r="P30" s="8">
        <f>Table1[[#This Row],[Gross sale]]-Table1[[#This Row],[Discount Amount]]</f>
        <v>74800</v>
      </c>
      <c r="Q30" s="8">
        <f>Table1[[#This Row],[Unit Cost]]*Table1[[#This Row],[Quantity]]</f>
        <v>66000</v>
      </c>
      <c r="R30" s="8">
        <f>Table1[[#This Row],[Net Sale]]-Table1[[#This Row],[Shipping Cost]]-Table1[[#This Row],[Total Cost]]</f>
        <v>7800</v>
      </c>
      <c r="S30" s="3">
        <f t="shared" si="0"/>
        <v>0.10427807486631016</v>
      </c>
    </row>
    <row r="31" spans="1:19" x14ac:dyDescent="0.3">
      <c r="A31">
        <v>2030</v>
      </c>
      <c r="B31" s="1">
        <v>46295</v>
      </c>
      <c r="C31" t="s">
        <v>63</v>
      </c>
      <c r="D31" t="s">
        <v>14</v>
      </c>
      <c r="E31" t="s">
        <v>31</v>
      </c>
      <c r="F31" t="s">
        <v>27</v>
      </c>
      <c r="G31" t="s">
        <v>38</v>
      </c>
      <c r="H31">
        <v>6</v>
      </c>
      <c r="I31" s="8">
        <v>2500</v>
      </c>
      <c r="J31" s="8">
        <v>1400</v>
      </c>
      <c r="K31" s="2">
        <v>0</v>
      </c>
      <c r="L31" s="8">
        <v>200</v>
      </c>
      <c r="M31" t="s">
        <v>18</v>
      </c>
      <c r="N31" s="8">
        <f>Table1[[#This Row],[Quantity]]*Table1[[#This Row],[Unit Price]]</f>
        <v>15000</v>
      </c>
      <c r="O31" s="8">
        <f>Table1[[#This Row],[Gross sale]]*Table1[[#This Row],[Discount]]</f>
        <v>0</v>
      </c>
      <c r="P31" s="8">
        <f>Table1[[#This Row],[Gross sale]]-Table1[[#This Row],[Discount Amount]]</f>
        <v>15000</v>
      </c>
      <c r="Q31" s="8">
        <f>Table1[[#This Row],[Unit Cost]]*Table1[[#This Row],[Quantity]]</f>
        <v>8400</v>
      </c>
      <c r="R31" s="8">
        <f>Table1[[#This Row],[Net Sale]]-Table1[[#This Row],[Shipping Cost]]-Table1[[#This Row],[Total Cost]]</f>
        <v>6400</v>
      </c>
      <c r="S31" s="3">
        <f t="shared" si="0"/>
        <v>0.42666666666666669</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&amp; Profit by Region.</vt:lpstr>
      <vt:lpstr>Category Analysis</vt:lpstr>
      <vt:lpstr>Segment Analysis</vt:lpstr>
      <vt:lpstr>Product Performance</vt:lpstr>
      <vt:lpstr>Payment Method Analysis</vt:lpstr>
      <vt:lpstr>Daily Sales &amp; Profit</vt:lpstr>
      <vt:lpstr>  E-COMMERCE SALES &amp; PROFIT DAS</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Ashith Shetty</dc:creator>
  <cp:lastModifiedBy>Ashith Shetty</cp:lastModifiedBy>
  <dcterms:created xsi:type="dcterms:W3CDTF">2026-09-27T11:52:31Z</dcterms:created>
  <dcterms:modified xsi:type="dcterms:W3CDTF">2026-09-27T13:41:23Z</dcterms:modified>
</cp:coreProperties>
</file>